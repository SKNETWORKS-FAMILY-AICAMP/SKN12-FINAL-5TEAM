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WKTc/wNCoZakRV21p9Fh/lCUyMq5lTaryGzHrXnAYAg="/>
    </ext>
  </extLst>
</workbook>
</file>

<file path=xl/sharedStrings.xml><?xml version="1.0" encoding="utf-8"?>
<sst xmlns="http://schemas.openxmlformats.org/spreadsheetml/2006/main" count="370" uniqueCount="222">
  <si>
    <t>Task ID</t>
  </si>
  <si>
    <t>대분류</t>
  </si>
  <si>
    <t>주요 업무</t>
  </si>
  <si>
    <t>세부 업무</t>
  </si>
  <si>
    <t>담당자</t>
  </si>
  <si>
    <t>상태</t>
  </si>
  <si>
    <t>시작일</t>
  </si>
  <si>
    <t>마감일</t>
  </si>
  <si>
    <t>우선순위</t>
  </si>
  <si>
    <t>001</t>
  </si>
  <si>
    <t>설계</t>
  </si>
  <si>
    <t>기획</t>
  </si>
  <si>
    <t>WBS 작성</t>
  </si>
  <si>
    <t>이석원, 이준배, 최요섭</t>
  </si>
  <si>
    <t>진행중</t>
  </si>
  <si>
    <t>매우 높음</t>
  </si>
  <si>
    <t>002</t>
  </si>
  <si>
    <t>프로젝트 기획서 (초안) 작성</t>
  </si>
  <si>
    <t>모두</t>
  </si>
  <si>
    <t>완료</t>
  </si>
  <si>
    <t>003</t>
  </si>
  <si>
    <t>요구사항 정의서 (초안) 작성</t>
  </si>
  <si>
    <t>004</t>
  </si>
  <si>
    <t>기능 명세서</t>
  </si>
  <si>
    <t>김원우, 이석원, 이준배, 최요섭</t>
  </si>
  <si>
    <t>005</t>
  </si>
  <si>
    <t>화면 설계서</t>
  </si>
  <si>
    <t>진행 예정</t>
  </si>
  <si>
    <t>006</t>
  </si>
  <si>
    <t>DB 설계서</t>
  </si>
  <si>
    <t>007</t>
  </si>
  <si>
    <t>API 명세서</t>
  </si>
  <si>
    <t>이석원</t>
  </si>
  <si>
    <t>008</t>
  </si>
  <si>
    <t>필요 기술 조사</t>
  </si>
  <si>
    <t>009</t>
  </si>
  <si>
    <t>시스템 아키텍처</t>
  </si>
  <si>
    <t>010</t>
  </si>
  <si>
    <t>데이터</t>
  </si>
  <si>
    <t>수집</t>
  </si>
  <si>
    <t>자소서 데이터 크롤링</t>
  </si>
  <si>
    <t>011</t>
  </si>
  <si>
    <t>채용 공고 데이터 수집 - 사람인 API</t>
  </si>
  <si>
    <t>012</t>
  </si>
  <si>
    <t>AIhub - 채용면접데이터</t>
  </si>
  <si>
    <t>이석원, 이준배</t>
  </si>
  <si>
    <t>013</t>
  </si>
  <si>
    <t xml:space="preserve">정제 </t>
  </si>
  <si>
    <t>데이터 확인 및 분류</t>
  </si>
  <si>
    <t>김원우, 김이경, 이준배</t>
  </si>
  <si>
    <t>014</t>
  </si>
  <si>
    <t>불용어 처리</t>
  </si>
  <si>
    <t>김원우, 이준배, 김이경</t>
  </si>
  <si>
    <t>015</t>
  </si>
  <si>
    <t>토크나이저</t>
  </si>
  <si>
    <t>016</t>
  </si>
  <si>
    <t>개발 - AI</t>
  </si>
  <si>
    <t>음성/텍스트</t>
  </si>
  <si>
    <t>Whisper(OpenAI) STT API 연동</t>
  </si>
  <si>
    <t>이준배</t>
  </si>
  <si>
    <t>017</t>
  </si>
  <si>
    <t>TTS</t>
  </si>
  <si>
    <t>018</t>
  </si>
  <si>
    <t>잡음 제거 필터 구현</t>
  </si>
  <si>
    <t>019</t>
  </si>
  <si>
    <t>음성 볼륨 정규화</t>
  </si>
  <si>
    <t>020</t>
  </si>
  <si>
    <t>텍스트 맞춤법 교정</t>
  </si>
  <si>
    <t>021</t>
  </si>
  <si>
    <t>띄어쓰기/구두점 자동 보정</t>
  </si>
  <si>
    <t>022</t>
  </si>
  <si>
    <t>페르소나</t>
  </si>
  <si>
    <t>면접관 성향(친근/엄격 등) 프롬프트 설계</t>
  </si>
  <si>
    <t>최요섭</t>
  </si>
  <si>
    <t>023</t>
  </si>
  <si>
    <t>면접관 난이도(쉬움/어려움) 프롬프트 설계</t>
  </si>
  <si>
    <t>024</t>
  </si>
  <si>
    <t>지원자(춘식이) 페르소나 설계 및 적용</t>
  </si>
  <si>
    <t>김이경</t>
  </si>
  <si>
    <t>025</t>
  </si>
  <si>
    <t>캐릭터 프로필 DB/일관성 검증 알고리즘</t>
  </si>
  <si>
    <t>026</t>
  </si>
  <si>
    <t>실시간 페르소나/경쟁력(난이도) 조절</t>
  </si>
  <si>
    <t>027</t>
  </si>
  <si>
    <t>대화/기억</t>
  </si>
  <si>
    <t>세션 컨텍스트/히스토리 관리</t>
  </si>
  <si>
    <t>김이경, 최요섭</t>
  </si>
  <si>
    <t>028</t>
  </si>
  <si>
    <t>계층적 메모리/요약 저장</t>
  </si>
  <si>
    <t>029</t>
  </si>
  <si>
    <t>장기기억 압축/핵심정보 추출</t>
  </si>
  <si>
    <t>030</t>
  </si>
  <si>
    <t>질문 생성</t>
  </si>
  <si>
    <t>질문 은행/데이터셋 구축</t>
  </si>
  <si>
    <t>031</t>
  </si>
  <si>
    <t>맞춤형 질문 자동 생성</t>
  </si>
  <si>
    <t>032</t>
  </si>
  <si>
    <t>꼬리질문 생성 시스템</t>
  </si>
  <si>
    <t>033</t>
  </si>
  <si>
    <t>질문 추천 알고리즘</t>
  </si>
  <si>
    <t>034</t>
  </si>
  <si>
    <t>답변 생성</t>
  </si>
  <si>
    <t>답변 생성 파이프라인(춘식이 등)</t>
  </si>
  <si>
    <t>035</t>
  </si>
  <si>
    <t>답변 일관성/모순 검증</t>
  </si>
  <si>
    <t>036</t>
  </si>
  <si>
    <t>답변 생성 방식 비교/적용</t>
  </si>
  <si>
    <t>037</t>
  </si>
  <si>
    <t>답변 품질/경쟁력 조절</t>
  </si>
  <si>
    <t>038</t>
  </si>
  <si>
    <t>답변 평가</t>
  </si>
  <si>
    <t>관련성 평가(LLM, 임베딩 등)</t>
  </si>
  <si>
    <t>039</t>
  </si>
  <si>
    <t>논리 구조 평가(STAR 등)</t>
  </si>
  <si>
    <t>040</t>
  </si>
  <si>
    <t>전문성/깊이 평가(RAG 등)</t>
  </si>
  <si>
    <t>041</t>
  </si>
  <si>
    <t>피드백 생성(일반/기술 질문 구분)</t>
  </si>
  <si>
    <t>042</t>
  </si>
  <si>
    <t>이력서/자소서</t>
  </si>
  <si>
    <t>이력서 데이터 추출(PDF)</t>
  </si>
  <si>
    <t>김원우</t>
  </si>
  <si>
    <t>043</t>
  </si>
  <si>
    <t>영상/시선</t>
  </si>
  <si>
    <t>시선 추적(눈동자/홍채 등)</t>
  </si>
  <si>
    <t>낮음</t>
  </si>
  <si>
    <t>044</t>
  </si>
  <si>
    <t>좌표 정규화/개인화 보정</t>
  </si>
  <si>
    <t>045</t>
  </si>
  <si>
    <t>시선 정보 기반 피드백</t>
  </si>
  <si>
    <t>046</t>
  </si>
  <si>
    <t>개발 - 프론트 엔드</t>
  </si>
  <si>
    <t>대화/UX</t>
  </si>
  <si>
    <t>대화 흐름 제어 로직 설계 (State Machine 기반)</t>
  </si>
  <si>
    <t>047</t>
  </si>
  <si>
    <t>사용자 초기 설정 인터페이스 구성</t>
  </si>
  <si>
    <t>048</t>
  </si>
  <si>
    <t>면접 진행 시간 표시 및 제어 기능</t>
  </si>
  <si>
    <t>049</t>
  </si>
  <si>
    <t>환경 세팅</t>
  </si>
  <si>
    <t>오디오 출력 상태 진단 모듈</t>
  </si>
  <si>
    <t>050</t>
  </si>
  <si>
    <t>실시간 웹캠 입력 감지 및 테스트</t>
  </si>
  <si>
    <t>051</t>
  </si>
  <si>
    <t>마이크 입력 및 STT 반응 확인 기능</t>
  </si>
  <si>
    <t>052</t>
  </si>
  <si>
    <t>화면 설계</t>
  </si>
  <si>
    <t>서비스 랜딩 페이지 개발</t>
  </si>
  <si>
    <t>053</t>
  </si>
  <si>
    <t>인터뷰 세션 화면 UI 구현</t>
  </si>
  <si>
    <t>054</t>
  </si>
  <si>
    <t>사용자 개인화 정보 페이지 개발</t>
  </si>
  <si>
    <t>055</t>
  </si>
  <si>
    <t>인터뷰 결과 분석 피드백 화면 개발</t>
  </si>
  <si>
    <t>056</t>
  </si>
  <si>
    <t>개발 - 백 엔드</t>
  </si>
  <si>
    <t>DB</t>
  </si>
  <si>
    <t>데이터베이스 인프라 초기 구축</t>
  </si>
  <si>
    <t>057</t>
  </si>
  <si>
    <t>데이터 모델링 및 ERD 설계</t>
  </si>
  <si>
    <t>이석원, 김원우</t>
  </si>
  <si>
    <t>058</t>
  </si>
  <si>
    <t>초기 테스트 데이터 삽입 및 검증</t>
  </si>
  <si>
    <t>059</t>
  </si>
  <si>
    <t>FastAPI 기반 데이터 액세스 레이어 구현</t>
  </si>
  <si>
    <t>060</t>
  </si>
  <si>
    <t>서버</t>
  </si>
  <si>
    <t>Docker 컨테이너 이미지 구성 및 빌드</t>
  </si>
  <si>
    <t>061</t>
  </si>
  <si>
    <t>AWS 기반 서비스 배포 자동화</t>
  </si>
  <si>
    <t>062</t>
  </si>
  <si>
    <t>트래픽 분산을 위한 로드 밸런싱 구성</t>
  </si>
  <si>
    <t>063</t>
  </si>
  <si>
    <t>인증</t>
  </si>
  <si>
    <t>사용자 인증 로직 구현</t>
  </si>
  <si>
    <t>064</t>
  </si>
  <si>
    <t>OAuth2 기반 소셜 로그인 연동</t>
  </si>
  <si>
    <t>065</t>
  </si>
  <si>
    <t>신규 사용자 계정 생성 기능</t>
  </si>
  <si>
    <t>066</t>
  </si>
  <si>
    <t>사용자 인증 세션 종료 처리</t>
  </si>
  <si>
    <t>067</t>
  </si>
  <si>
    <t>JWT 기반 인증 및 세션 상태 관리 (or Redis)</t>
  </si>
  <si>
    <t>068</t>
  </si>
  <si>
    <t>QA</t>
  </si>
  <si>
    <t>확인</t>
  </si>
  <si>
    <t>요구사항 이행 여부 확인</t>
  </si>
  <si>
    <t>069</t>
  </si>
  <si>
    <t>테스트</t>
  </si>
  <si>
    <t>코드 리팩토링</t>
  </si>
  <si>
    <t>070</t>
  </si>
  <si>
    <t>테스트 시나리오 작성</t>
  </si>
  <si>
    <t>071</t>
  </si>
  <si>
    <t>테스트 진행</t>
  </si>
  <si>
    <t>072</t>
  </si>
  <si>
    <t>테스트 계획 및 결과 보고서</t>
  </si>
  <si>
    <t>073</t>
  </si>
  <si>
    <t>문서 작성</t>
  </si>
  <si>
    <t>깃허브 리드미 작성</t>
  </si>
  <si>
    <t>074</t>
  </si>
  <si>
    <t xml:space="preserve">발표 문서 작성 </t>
  </si>
  <si>
    <t>075</t>
  </si>
  <si>
    <t>시스템 아키텍처 작성</t>
  </si>
  <si>
    <t>076</t>
  </si>
  <si>
    <t>시스템 구성도 작성</t>
  </si>
  <si>
    <t>077</t>
  </si>
  <si>
    <t>프로젝트 기획서 작성</t>
  </si>
  <si>
    <t>078</t>
  </si>
  <si>
    <t>요구사항 정의서 작성</t>
  </si>
  <si>
    <t>079</t>
  </si>
  <si>
    <t>화면 설계서 작성 작성</t>
  </si>
  <si>
    <t>080</t>
  </si>
  <si>
    <t>인공지능 데이터 전처리 결과서</t>
  </si>
  <si>
    <t>081</t>
  </si>
  <si>
    <t>인공지능 학습 결과서</t>
  </si>
  <si>
    <t>082</t>
  </si>
  <si>
    <t>수집된 데이터 및 전처리 문서</t>
  </si>
  <si>
    <t>083</t>
  </si>
  <si>
    <t>발표</t>
  </si>
  <si>
    <t>최종 ppt</t>
  </si>
  <si>
    <t>084</t>
  </si>
  <si>
    <t>최종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</si>
</sst>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 M. d"/>
    <numFmt numFmtId="165" formatCode="m&quot;/&quot;d"/>
    <numFmt numFmtId="166" formatCode="YYYY-MM-DD"/>
    <numFmt numFmtId="167" formatCode=";;;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rgb="FFFFFFFF"/>
      <name val="Malgun Gothic"/>
    </font>
    <font>
      <color theme="1"/>
      <name val="Calibri"/>
    </font>
    <font>
      <sz val="11.0"/>
      <color theme="1"/>
      <name val="Calibri"/>
    </font>
    <font/>
    <font>
      <color theme="1"/>
      <name val="FkGroteskNeue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000000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000000"/>
      </top>
    </border>
    <border>
      <left style="thin">
        <color rgb="FFE5E7EB"/>
      </left>
      <right style="thin">
        <color rgb="FFE5E7EB"/>
      </right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center"/>
    </xf>
    <xf borderId="0" fillId="0" fontId="2" numFmtId="0" xfId="0" applyFont="1"/>
    <xf borderId="0" fillId="3" fontId="3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1" fillId="0" fontId="1" numFmtId="49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4" fontId="5" numFmtId="166" xfId="0" applyAlignment="1" applyBorder="1" applyFill="1" applyFont="1" applyNumberFormat="1">
      <alignment horizontal="center"/>
    </xf>
    <xf borderId="4" fillId="0" fontId="1" numFmtId="0" xfId="0" applyAlignment="1" applyBorder="1" applyFont="1">
      <alignment readingOrder="0" vertical="bottom"/>
    </xf>
    <xf borderId="3" fillId="0" fontId="5" numFmtId="167" xfId="0" applyBorder="1" applyFont="1" applyNumberFormat="1"/>
    <xf borderId="3" fillId="5" fontId="5" numFmtId="167" xfId="0" applyAlignment="1" applyBorder="1" applyFill="1" applyFont="1" applyNumberFormat="1">
      <alignment horizontal="center"/>
    </xf>
    <xf borderId="5" fillId="0" fontId="1" numFmtId="49" xfId="0" applyAlignment="1" applyBorder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3" fillId="6" fontId="5" numFmtId="167" xfId="0" applyAlignment="1" applyBorder="1" applyFill="1" applyFont="1" applyNumberFormat="1">
      <alignment horizontal="center"/>
    </xf>
    <xf borderId="0" fillId="3" fontId="3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vertical="bottom"/>
    </xf>
    <xf borderId="3" fillId="7" fontId="5" numFmtId="167" xfId="0" applyAlignment="1" applyBorder="1" applyFill="1" applyFont="1" applyNumberFormat="1">
      <alignment horizontal="center"/>
    </xf>
    <xf borderId="8" fillId="0" fontId="1" numFmtId="49" xfId="0" applyAlignment="1" applyBorder="1" applyFont="1" applyNumberFormat="1">
      <alignment horizontal="right" vertical="bottom"/>
    </xf>
    <xf borderId="9" fillId="0" fontId="6" numFmtId="0" xfId="0" applyBorder="1" applyFont="1"/>
    <xf borderId="9" fillId="0" fontId="2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4" fillId="0" fontId="1" numFmtId="0" xfId="0" applyAlignment="1" applyBorder="1" applyFont="1">
      <alignment vertical="bottom"/>
    </xf>
    <xf borderId="3" fillId="4" fontId="5" numFmtId="166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vertical="center"/>
    </xf>
    <xf borderId="13" fillId="0" fontId="1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readingOrder="0"/>
    </xf>
    <xf borderId="14" fillId="0" fontId="6" numFmtId="0" xfId="0" applyBorder="1" applyFont="1"/>
    <xf borderId="7" fillId="0" fontId="7" numFmtId="0" xfId="0" applyAlignment="1" applyBorder="1" applyFont="1">
      <alignment readingOrder="0"/>
    </xf>
    <xf borderId="15" fillId="0" fontId="6" numFmtId="0" xfId="0" applyBorder="1" applyFont="1"/>
    <xf borderId="16" fillId="0" fontId="7" numFmtId="0" xfId="0" applyAlignment="1" applyBorder="1" applyFont="1">
      <alignment readingOrder="0" vertical="center"/>
    </xf>
    <xf borderId="16" fillId="0" fontId="7" numFmtId="0" xfId="0" applyAlignment="1" applyBorder="1" applyFont="1">
      <alignment horizontal="left" readingOrder="0" vertical="center"/>
    </xf>
    <xf borderId="17" fillId="0" fontId="6" numFmtId="0" xfId="0" applyBorder="1" applyFont="1"/>
    <xf borderId="10" fillId="0" fontId="7" numFmtId="0" xfId="0" applyAlignment="1" applyBorder="1" applyFont="1">
      <alignment readingOrder="0"/>
    </xf>
    <xf borderId="9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13" fillId="3" fontId="1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0E1F6"/>
          <bgColor rgb="FFC0E1F6"/>
        </patternFill>
      </fill>
      <border/>
    </dxf>
    <dxf>
      <font/>
      <fill>
        <patternFill patternType="solid">
          <fgColor rgb="FFFFCFC8"/>
          <bgColor rgb="FFFFCFC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10.63"/>
    <col customWidth="1" min="4" max="4" width="33.75"/>
    <col customWidth="1" min="5" max="5" width="39.25"/>
    <col customWidth="1" min="6" max="7" width="12.63"/>
    <col customWidth="1" min="10" max="62" width="5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>
        <f>DATE(2025,6,30)</f>
        <v>45838</v>
      </c>
      <c r="K1" s="4">
        <f t="shared" ref="K1:BJ1" si="1">J1+1</f>
        <v>45839</v>
      </c>
      <c r="L1" s="4">
        <f t="shared" si="1"/>
        <v>45840</v>
      </c>
      <c r="M1" s="4">
        <f t="shared" si="1"/>
        <v>45841</v>
      </c>
      <c r="N1" s="4">
        <f t="shared" si="1"/>
        <v>45842</v>
      </c>
      <c r="O1" s="4">
        <f t="shared" si="1"/>
        <v>45843</v>
      </c>
      <c r="P1" s="4">
        <f t="shared" si="1"/>
        <v>45844</v>
      </c>
      <c r="Q1" s="4">
        <f t="shared" si="1"/>
        <v>45845</v>
      </c>
      <c r="R1" s="4">
        <f t="shared" si="1"/>
        <v>45846</v>
      </c>
      <c r="S1" s="4">
        <f t="shared" si="1"/>
        <v>45847</v>
      </c>
      <c r="T1" s="4">
        <f t="shared" si="1"/>
        <v>45848</v>
      </c>
      <c r="U1" s="4">
        <f t="shared" si="1"/>
        <v>45849</v>
      </c>
      <c r="V1" s="4">
        <f t="shared" si="1"/>
        <v>45850</v>
      </c>
      <c r="W1" s="4">
        <f t="shared" si="1"/>
        <v>45851</v>
      </c>
      <c r="X1" s="4">
        <f t="shared" si="1"/>
        <v>45852</v>
      </c>
      <c r="Y1" s="4">
        <f t="shared" si="1"/>
        <v>45853</v>
      </c>
      <c r="Z1" s="4">
        <f t="shared" si="1"/>
        <v>45854</v>
      </c>
      <c r="AA1" s="4">
        <f t="shared" si="1"/>
        <v>45855</v>
      </c>
      <c r="AB1" s="4">
        <f t="shared" si="1"/>
        <v>45856</v>
      </c>
      <c r="AC1" s="4">
        <f t="shared" si="1"/>
        <v>45857</v>
      </c>
      <c r="AD1" s="4">
        <f t="shared" si="1"/>
        <v>45858</v>
      </c>
      <c r="AE1" s="4">
        <f t="shared" si="1"/>
        <v>45859</v>
      </c>
      <c r="AF1" s="4">
        <f t="shared" si="1"/>
        <v>45860</v>
      </c>
      <c r="AG1" s="4">
        <f t="shared" si="1"/>
        <v>45861</v>
      </c>
      <c r="AH1" s="4">
        <f t="shared" si="1"/>
        <v>45862</v>
      </c>
      <c r="AI1" s="4">
        <f t="shared" si="1"/>
        <v>45863</v>
      </c>
      <c r="AJ1" s="4">
        <f t="shared" si="1"/>
        <v>45864</v>
      </c>
      <c r="AK1" s="4">
        <f t="shared" si="1"/>
        <v>45865</v>
      </c>
      <c r="AL1" s="4">
        <f t="shared" si="1"/>
        <v>45866</v>
      </c>
      <c r="AM1" s="4">
        <f t="shared" si="1"/>
        <v>45867</v>
      </c>
      <c r="AN1" s="4">
        <f t="shared" si="1"/>
        <v>45868</v>
      </c>
      <c r="AO1" s="4">
        <f t="shared" si="1"/>
        <v>45869</v>
      </c>
      <c r="AP1" s="4">
        <f t="shared" si="1"/>
        <v>45870</v>
      </c>
      <c r="AQ1" s="4">
        <f t="shared" si="1"/>
        <v>45871</v>
      </c>
      <c r="AR1" s="4">
        <f t="shared" si="1"/>
        <v>45872</v>
      </c>
      <c r="AS1" s="4">
        <f t="shared" si="1"/>
        <v>45873</v>
      </c>
      <c r="AT1" s="4">
        <f t="shared" si="1"/>
        <v>45874</v>
      </c>
      <c r="AU1" s="4">
        <f t="shared" si="1"/>
        <v>45875</v>
      </c>
      <c r="AV1" s="4">
        <f t="shared" si="1"/>
        <v>45876</v>
      </c>
      <c r="AW1" s="4">
        <f t="shared" si="1"/>
        <v>45877</v>
      </c>
      <c r="AX1" s="4">
        <f t="shared" si="1"/>
        <v>45878</v>
      </c>
      <c r="AY1" s="4">
        <f t="shared" si="1"/>
        <v>45879</v>
      </c>
      <c r="AZ1" s="4">
        <f t="shared" si="1"/>
        <v>45880</v>
      </c>
      <c r="BA1" s="4">
        <f t="shared" si="1"/>
        <v>45881</v>
      </c>
      <c r="BB1" s="4">
        <f t="shared" si="1"/>
        <v>45882</v>
      </c>
      <c r="BC1" s="4">
        <f t="shared" si="1"/>
        <v>45883</v>
      </c>
      <c r="BD1" s="4">
        <f t="shared" si="1"/>
        <v>45884</v>
      </c>
      <c r="BE1" s="4">
        <f t="shared" si="1"/>
        <v>45885</v>
      </c>
      <c r="BF1" s="4">
        <f t="shared" si="1"/>
        <v>45886</v>
      </c>
      <c r="BG1" s="4">
        <f t="shared" si="1"/>
        <v>45887</v>
      </c>
      <c r="BH1" s="4">
        <f t="shared" si="1"/>
        <v>45888</v>
      </c>
      <c r="BI1" s="4">
        <f t="shared" si="1"/>
        <v>45889</v>
      </c>
      <c r="BJ1" s="4">
        <f t="shared" si="1"/>
        <v>45890</v>
      </c>
      <c r="BK1" s="5"/>
      <c r="BL1" s="6"/>
      <c r="BM1" s="6"/>
      <c r="BN1" s="6"/>
      <c r="BO1" s="6"/>
      <c r="BP1" s="7"/>
      <c r="BQ1" s="7"/>
      <c r="BR1" s="7"/>
      <c r="BS1" s="7"/>
      <c r="BT1" s="7"/>
    </row>
    <row r="2" ht="15.75" customHeight="1">
      <c r="A2" s="8" t="s">
        <v>9</v>
      </c>
      <c r="B2" s="9" t="s">
        <v>10</v>
      </c>
      <c r="C2" s="9" t="s">
        <v>11</v>
      </c>
      <c r="D2" s="10" t="s">
        <v>12</v>
      </c>
      <c r="E2" s="11" t="s">
        <v>13</v>
      </c>
      <c r="F2" s="11" t="s">
        <v>14</v>
      </c>
      <c r="G2" s="12">
        <v>45841.0</v>
      </c>
      <c r="H2" s="12">
        <v>45842.0</v>
      </c>
      <c r="I2" s="13" t="s">
        <v>15</v>
      </c>
      <c r="J2" s="14" t="str">
        <f t="shared" ref="J2:J3" si="2">IF(AND(ISNUMBER(G2), ISNUMBER(H2), 45838&gt;=G2, 45838&lt;=H2), "", "")</f>
        <v/>
      </c>
      <c r="K2" s="14" t="str">
        <f>IF(AND(ISNUMBER(G2), ISNUMBER(H2), 45839&gt;=G2, 45839&lt;=H2), F2, "")</f>
        <v/>
      </c>
      <c r="L2" s="14" t="str">
        <f t="shared" ref="L2:L85" si="3">IF(AND(ISNUMBER(G2), ISNUMBER(H2), 45840&gt;=G2, 45840&lt;=H2), F2, "")</f>
        <v/>
      </c>
      <c r="M2" s="15" t="str">
        <f t="shared" ref="M2:M85" si="4">IF(AND(ISNUMBER(G2), ISNUMBER(H2), 45841&gt;=G2, 45841&lt;=H2), F2, "")</f>
        <v>진행중</v>
      </c>
      <c r="N2" s="15" t="str">
        <f t="shared" ref="N2:N85" si="5">IF(AND(ISNUMBER(G2), ISNUMBER(H2), 45842&gt;=G2, 45842&lt;=H2), F2, "")</f>
        <v>진행중</v>
      </c>
      <c r="O2" s="14" t="str">
        <f t="shared" ref="O2:O85" si="6">IF(AND(ISNUMBER(G2), ISNUMBER(H2), 45843&gt;=G2, 45843&lt;=H2), F2, "")</f>
        <v/>
      </c>
      <c r="P2" s="14" t="str">
        <f t="shared" ref="P2:P85" si="7">IF(AND(ISNUMBER(G2), ISNUMBER(H2), 45844&gt;=G2, 45844&lt;=H2), F2, "")</f>
        <v/>
      </c>
      <c r="Q2" s="14" t="str">
        <f t="shared" ref="Q2:Q85" si="8">IF(AND(ISNUMBER(G2), ISNUMBER(H2), 45845&gt;=G2, 45845&lt;=H2), F2, "")</f>
        <v/>
      </c>
      <c r="R2" s="14" t="str">
        <f t="shared" ref="R2:R85" si="9">IF(AND(ISNUMBER(G2), ISNUMBER(H2), 45846&gt;=G2, 45846&lt;=H2), F2, "")</f>
        <v/>
      </c>
      <c r="S2" s="14" t="str">
        <f t="shared" ref="S2:S85" si="10">IF(AND(ISNUMBER(G2), ISNUMBER(H2), 45847&gt;=G2, 45847&lt;=H2), F2, "")</f>
        <v/>
      </c>
      <c r="T2" s="14" t="str">
        <f t="shared" ref="T2:T85" si="11">IF(AND(ISNUMBER(G2), ISNUMBER(H2), 45848&gt;=G2, 45848&lt;=H2), F2, "")</f>
        <v/>
      </c>
      <c r="U2" s="14" t="str">
        <f t="shared" ref="U2:U85" si="12">IF(AND(ISNUMBER(G2), ISNUMBER(H2), 45849&gt;=G2, 45849&lt;=H2), F2, "")</f>
        <v/>
      </c>
      <c r="V2" s="14" t="str">
        <f t="shared" ref="V2:V85" si="13">IF(AND(ISNUMBER(G2), ISNUMBER(H2), 45850&gt;=G2, 45850&lt;=H2), F2, "")</f>
        <v/>
      </c>
      <c r="W2" s="14" t="str">
        <f t="shared" ref="W2:W85" si="14">IF(AND(ISNUMBER(G2), ISNUMBER(H2), 45851&gt;=G2, 45851&lt;=H2), F2, "")</f>
        <v/>
      </c>
      <c r="X2" s="14" t="str">
        <f t="shared" ref="X2:X85" si="15">IF(AND(ISNUMBER(G2), ISNUMBER(H2), 45852&gt;=G2, 45852&lt;=H2), F2, "")</f>
        <v/>
      </c>
      <c r="Y2" s="14" t="str">
        <f t="shared" ref="Y2:Y85" si="16">IF(AND(ISNUMBER(G2), ISNUMBER(H2), 45853&gt;=G2, 45853&lt;=H2), F2, "")</f>
        <v/>
      </c>
      <c r="Z2" s="14" t="str">
        <f t="shared" ref="Z2:Z85" si="17">IF(AND(ISNUMBER(G2), ISNUMBER(H2), 45854&gt;=G2, 45854&lt;=H2), F2, "")</f>
        <v/>
      </c>
      <c r="AA2" s="14" t="str">
        <f t="shared" ref="AA2:AA85" si="18">IF(AND(ISNUMBER(G2), ISNUMBER(H2), 45855&gt;=G2, 45855&lt;=H2), F2, "")</f>
        <v/>
      </c>
      <c r="AB2" s="14" t="str">
        <f t="shared" ref="AB2:AB85" si="19">IF(AND(ISNUMBER(G2), ISNUMBER(H2), 45856&gt;=G2, 45856&lt;=H2), F2, "")</f>
        <v/>
      </c>
      <c r="AC2" s="14" t="str">
        <f t="shared" ref="AC2:AC85" si="20">IF(AND(ISNUMBER(G2), ISNUMBER(H2), 45857&gt;=G2, 45857&lt;=H2), F2, "")</f>
        <v/>
      </c>
      <c r="AD2" s="14" t="str">
        <f t="shared" ref="AD2:AD85" si="21">IF(AND(ISNUMBER(G2), ISNUMBER(H2), 45858&gt;=G2, 45858&lt;=H2), F2, "")</f>
        <v/>
      </c>
      <c r="AE2" s="14" t="str">
        <f t="shared" ref="AE2:AE85" si="22">IF(AND(ISNUMBER(G2), ISNUMBER(H2), 45859&gt;=G2, 45859&lt;=H2), F2, "")</f>
        <v/>
      </c>
      <c r="AF2" s="14" t="str">
        <f t="shared" ref="AF2:AF85" si="23">IF(AND(ISNUMBER(G2), ISNUMBER(H2), 45860&gt;=G2, 45860&lt;=H2), F2, "")</f>
        <v/>
      </c>
      <c r="AG2" s="14" t="str">
        <f t="shared" ref="AG2:AG85" si="24">IF(AND(ISNUMBER(G2), ISNUMBER(H2), 45861&gt;=G2, 45861&lt;=H2), F2, "")</f>
        <v/>
      </c>
      <c r="AH2" s="14" t="str">
        <f t="shared" ref="AH2:AH85" si="25">IF(AND(ISNUMBER(G2), ISNUMBER(H2), 45862&gt;=G2, 45862&lt;=H2), F2, "")</f>
        <v/>
      </c>
      <c r="AI2" s="14" t="str">
        <f t="shared" ref="AI2:AI85" si="26">IF(AND(ISNUMBER(G2), ISNUMBER(H2), 45863&gt;=G2, 45863&lt;=H2), F2, "")</f>
        <v/>
      </c>
      <c r="AJ2" s="14" t="str">
        <f t="shared" ref="AJ2:AJ85" si="27">IF(AND(ISNUMBER(G2), ISNUMBER(H2), 45864&gt;=G2, 45864&lt;=H2), F2, "")</f>
        <v/>
      </c>
      <c r="AK2" s="14" t="str">
        <f t="shared" ref="AK2:AK85" si="28">IF(AND(ISNUMBER(G2), ISNUMBER(H2), 45865&gt;=G2, 45865&lt;=H2), F2, "")</f>
        <v/>
      </c>
      <c r="AL2" s="14" t="str">
        <f t="shared" ref="AL2:AL85" si="29">IF(AND(ISNUMBER(G2), ISNUMBER(H2), 45866&gt;=G2, 45866&lt;=H2), F2, "")</f>
        <v/>
      </c>
      <c r="AM2" s="14" t="str">
        <f t="shared" ref="AM2:AM85" si="30">IF(AND(ISNUMBER(G2), ISNUMBER(H2), 45867&gt;=G2, 45867&lt;=H2), F2, "")</f>
        <v/>
      </c>
      <c r="AN2" s="14" t="str">
        <f t="shared" ref="AN2:AN85" si="31">IF(AND(ISNUMBER(G2), ISNUMBER(H2), 45868&gt;=G2, 45868&lt;=H2), F2, "")</f>
        <v/>
      </c>
      <c r="AO2" s="14" t="str">
        <f t="shared" ref="AO2:AO85" si="32">IF(AND(ISNUMBER(G2), ISNUMBER(H2), 45869&gt;=G2, 45869&lt;=H2), F2, "")</f>
        <v/>
      </c>
      <c r="AP2" s="14" t="str">
        <f t="shared" ref="AP2:AP85" si="33">IF(AND(ISNUMBER(G2), ISNUMBER(H2), 45870&gt;=G2, 45870&lt;=H2), F2, "")</f>
        <v/>
      </c>
      <c r="AQ2" s="14" t="str">
        <f t="shared" ref="AQ2:AQ85" si="34">IF(AND(ISNUMBER(G2), ISNUMBER(H2), 45871&gt;=G2, 45871&lt;=H2), F2, "")</f>
        <v/>
      </c>
      <c r="AR2" s="14" t="str">
        <f t="shared" ref="AR2:AR85" si="35">IF(AND(ISNUMBER(G2), ISNUMBER(H2), 45872&gt;=G2, 45872&lt;=H2), F2, "")</f>
        <v/>
      </c>
      <c r="AS2" s="14" t="str">
        <f t="shared" ref="AS2:AS85" si="36">IF(AND(ISNUMBER(G2), ISNUMBER(H2), 45873&gt;=G2, 45873&lt;=H2), F2, "")</f>
        <v/>
      </c>
      <c r="AT2" s="14" t="str">
        <f t="shared" ref="AT2:AT85" si="37">IF(AND(ISNUMBER(G2), ISNUMBER(H2), 45874&gt;=G2, 45874&lt;=H2), F2, "")</f>
        <v/>
      </c>
      <c r="AU2" s="14" t="str">
        <f t="shared" ref="AU2:AU85" si="38">IF(AND(ISNUMBER(G2), ISNUMBER(H2), 45875&gt;=G2, 45875&lt;=H2), F2, "")</f>
        <v/>
      </c>
      <c r="AV2" s="14" t="str">
        <f t="shared" ref="AV2:AV85" si="39">IF(AND(ISNUMBER(G2), ISNUMBER(H2), 45876&gt;=G2, 45876&lt;=H2), F2, "")</f>
        <v/>
      </c>
      <c r="AW2" s="14" t="str">
        <f t="shared" ref="AW2:AW85" si="40">IF(AND(ISNUMBER(G2), ISNUMBER(H2), 45877&gt;=G2, 45877&lt;=H2), F2, "")</f>
        <v/>
      </c>
      <c r="AX2" s="14" t="str">
        <f t="shared" ref="AX2:AX85" si="41">IF(AND(ISNUMBER(G2), ISNUMBER(H2), 45878&gt;=G2, 45878&lt;=H2), F2, "")</f>
        <v/>
      </c>
      <c r="AY2" s="14" t="str">
        <f t="shared" ref="AY2:AY85" si="42">IF(AND(ISNUMBER(G2), ISNUMBER(H2), 45879&gt;=G2, 45879&lt;=H2), F2, "")</f>
        <v/>
      </c>
      <c r="AZ2" s="14" t="str">
        <f t="shared" ref="AZ2:AZ85" si="43">IF(AND(ISNUMBER(G2), ISNUMBER(H2), 45880&gt;=G2, 45880&lt;=H2), F2, "")</f>
        <v/>
      </c>
      <c r="BA2" s="14" t="str">
        <f t="shared" ref="BA2:BA85" si="44">IF(AND(ISNUMBER(G2), ISNUMBER(H2), 45881&gt;=G2, 45881&lt;=H2), F2, "")</f>
        <v/>
      </c>
      <c r="BB2" s="14" t="str">
        <f t="shared" ref="BB2:BB85" si="45">IF(AND(ISNUMBER(G2), ISNUMBER(H2), 45882&gt;=G2, 45882&lt;=H2), F2, "")</f>
        <v/>
      </c>
      <c r="BC2" s="14" t="str">
        <f t="shared" ref="BC2:BC85" si="46">IF(AND(ISNUMBER(G2), ISNUMBER(H2), 45883&gt;=G2, 45883&lt;=H2), F2, "")</f>
        <v/>
      </c>
      <c r="BD2" s="14" t="str">
        <f t="shared" ref="BD2:BD85" si="47">IF(AND(ISNUMBER(G2), ISNUMBER(H2), 45884&gt;=G2, 45884&lt;=H2), F2, "")</f>
        <v/>
      </c>
      <c r="BE2" s="14" t="str">
        <f t="shared" ref="BE2:BE85" si="48">IF(AND(ISNUMBER(G2), ISNUMBER(H2), 45885&gt;=G2, 45885&lt;=H2), F2, "")</f>
        <v/>
      </c>
      <c r="BF2" s="14" t="str">
        <f t="shared" ref="BF2:BF85" si="49">IF(AND(ISNUMBER(G2), ISNUMBER(H2), 45886&gt;=G2, 45886&lt;=H2), F2, "")</f>
        <v/>
      </c>
      <c r="BG2" s="14" t="str">
        <f t="shared" ref="BG2:BG85" si="50">IF(AND(ISNUMBER(G2), ISNUMBER(H2), 45887&gt;=G2, 45887&lt;=H2), F2, "")</f>
        <v/>
      </c>
      <c r="BH2" s="14" t="str">
        <f t="shared" ref="BH2:BH85" si="51">IF(AND(ISNUMBER(G2), ISNUMBER(H2), 45888&gt;=G2, 45888&lt;=H2), F2, "")</f>
        <v/>
      </c>
      <c r="BI2" s="14" t="str">
        <f t="shared" ref="BI2:BI85" si="52">IF(AND(ISNUMBER(G2), ISNUMBER(H2), 45889&gt;=G2, 45889&lt;=H2), F2, "")</f>
        <v/>
      </c>
      <c r="BJ2" s="14" t="str">
        <f t="shared" ref="BJ2:BJ85" si="53">IF(AND(ISNUMBER(G2), ISNUMBER(H2), 45890&gt;=G2, 45890&lt;=H2), F2, "")</f>
        <v/>
      </c>
      <c r="BK2" s="6"/>
      <c r="BL2" s="6"/>
      <c r="BM2" s="6"/>
      <c r="BN2" s="6"/>
      <c r="BO2" s="6"/>
      <c r="BP2" s="7"/>
      <c r="BQ2" s="7"/>
      <c r="BR2" s="7"/>
      <c r="BS2" s="7"/>
      <c r="BT2" s="7"/>
    </row>
    <row r="3" ht="15.75" customHeight="1">
      <c r="A3" s="16" t="s">
        <v>16</v>
      </c>
      <c r="D3" s="17" t="s">
        <v>17</v>
      </c>
      <c r="E3" s="18" t="s">
        <v>18</v>
      </c>
      <c r="F3" s="18" t="s">
        <v>19</v>
      </c>
      <c r="G3" s="12">
        <v>45838.0</v>
      </c>
      <c r="H3" s="12">
        <v>45842.0</v>
      </c>
      <c r="I3" s="19" t="s">
        <v>15</v>
      </c>
      <c r="J3" s="20" t="str">
        <f t="shared" si="2"/>
        <v/>
      </c>
      <c r="K3" s="20" t="str">
        <f>IF(AND(ISNUMBER(G3), ISNUMBER(H3), 45839&gt;=G3, 45839&lt;=H3), "", "")</f>
        <v/>
      </c>
      <c r="L3" s="20" t="str">
        <f t="shared" si="3"/>
        <v>완료</v>
      </c>
      <c r="M3" s="20" t="str">
        <f t="shared" si="4"/>
        <v>완료</v>
      </c>
      <c r="N3" s="20" t="str">
        <f t="shared" si="5"/>
        <v>완료</v>
      </c>
      <c r="O3" s="14" t="str">
        <f t="shared" si="6"/>
        <v/>
      </c>
      <c r="P3" s="14" t="str">
        <f t="shared" si="7"/>
        <v/>
      </c>
      <c r="Q3" s="14" t="str">
        <f t="shared" si="8"/>
        <v/>
      </c>
      <c r="R3" s="14" t="str">
        <f t="shared" si="9"/>
        <v/>
      </c>
      <c r="S3" s="14" t="str">
        <f t="shared" si="10"/>
        <v/>
      </c>
      <c r="T3" s="14" t="str">
        <f t="shared" si="11"/>
        <v/>
      </c>
      <c r="U3" s="14" t="str">
        <f t="shared" si="12"/>
        <v/>
      </c>
      <c r="V3" s="14" t="str">
        <f t="shared" si="13"/>
        <v/>
      </c>
      <c r="W3" s="14" t="str">
        <f t="shared" si="14"/>
        <v/>
      </c>
      <c r="X3" s="14" t="str">
        <f t="shared" si="15"/>
        <v/>
      </c>
      <c r="Y3" s="14" t="str">
        <f t="shared" si="16"/>
        <v/>
      </c>
      <c r="Z3" s="14" t="str">
        <f t="shared" si="17"/>
        <v/>
      </c>
      <c r="AA3" s="14" t="str">
        <f t="shared" si="18"/>
        <v/>
      </c>
      <c r="AB3" s="14" t="str">
        <f t="shared" si="19"/>
        <v/>
      </c>
      <c r="AC3" s="14" t="str">
        <f t="shared" si="20"/>
        <v/>
      </c>
      <c r="AD3" s="14" t="str">
        <f t="shared" si="21"/>
        <v/>
      </c>
      <c r="AE3" s="14" t="str">
        <f t="shared" si="22"/>
        <v/>
      </c>
      <c r="AF3" s="14" t="str">
        <f t="shared" si="23"/>
        <v/>
      </c>
      <c r="AG3" s="14" t="str">
        <f t="shared" si="24"/>
        <v/>
      </c>
      <c r="AH3" s="14" t="str">
        <f t="shared" si="25"/>
        <v/>
      </c>
      <c r="AI3" s="14" t="str">
        <f t="shared" si="26"/>
        <v/>
      </c>
      <c r="AJ3" s="14" t="str">
        <f t="shared" si="27"/>
        <v/>
      </c>
      <c r="AK3" s="14" t="str">
        <f t="shared" si="28"/>
        <v/>
      </c>
      <c r="AL3" s="14" t="str">
        <f t="shared" si="29"/>
        <v/>
      </c>
      <c r="AM3" s="14" t="str">
        <f t="shared" si="30"/>
        <v/>
      </c>
      <c r="AN3" s="14" t="str">
        <f t="shared" si="31"/>
        <v/>
      </c>
      <c r="AO3" s="14" t="str">
        <f t="shared" si="32"/>
        <v/>
      </c>
      <c r="AP3" s="14" t="str">
        <f t="shared" si="33"/>
        <v/>
      </c>
      <c r="AQ3" s="14" t="str">
        <f t="shared" si="34"/>
        <v/>
      </c>
      <c r="AR3" s="14" t="str">
        <f t="shared" si="35"/>
        <v/>
      </c>
      <c r="AS3" s="14" t="str">
        <f t="shared" si="36"/>
        <v/>
      </c>
      <c r="AT3" s="14" t="str">
        <f t="shared" si="37"/>
        <v/>
      </c>
      <c r="AU3" s="14" t="str">
        <f t="shared" si="38"/>
        <v/>
      </c>
      <c r="AV3" s="14" t="str">
        <f t="shared" si="39"/>
        <v/>
      </c>
      <c r="AW3" s="14" t="str">
        <f t="shared" si="40"/>
        <v/>
      </c>
      <c r="AX3" s="14" t="str">
        <f t="shared" si="41"/>
        <v/>
      </c>
      <c r="AY3" s="14" t="str">
        <f t="shared" si="42"/>
        <v/>
      </c>
      <c r="AZ3" s="14" t="str">
        <f t="shared" si="43"/>
        <v/>
      </c>
      <c r="BA3" s="14" t="str">
        <f t="shared" si="44"/>
        <v/>
      </c>
      <c r="BB3" s="14" t="str">
        <f t="shared" si="45"/>
        <v/>
      </c>
      <c r="BC3" s="14" t="str">
        <f t="shared" si="46"/>
        <v/>
      </c>
      <c r="BD3" s="14" t="str">
        <f t="shared" si="47"/>
        <v/>
      </c>
      <c r="BE3" s="14" t="str">
        <f t="shared" si="48"/>
        <v/>
      </c>
      <c r="BF3" s="14" t="str">
        <f t="shared" si="49"/>
        <v/>
      </c>
      <c r="BG3" s="14" t="str">
        <f t="shared" si="50"/>
        <v/>
      </c>
      <c r="BH3" s="14" t="str">
        <f t="shared" si="51"/>
        <v/>
      </c>
      <c r="BI3" s="14" t="str">
        <f t="shared" si="52"/>
        <v/>
      </c>
      <c r="BJ3" s="14" t="str">
        <f t="shared" si="53"/>
        <v/>
      </c>
      <c r="BK3" s="21"/>
      <c r="BL3" s="21"/>
      <c r="BM3" s="21"/>
      <c r="BN3" s="21"/>
      <c r="BO3" s="21"/>
      <c r="BP3" s="21"/>
      <c r="BQ3" s="21"/>
      <c r="BR3" s="21"/>
      <c r="BS3" s="21"/>
      <c r="BT3" s="21"/>
    </row>
    <row r="4" ht="15.75" customHeight="1">
      <c r="A4" s="16" t="s">
        <v>20</v>
      </c>
      <c r="D4" s="17" t="s">
        <v>21</v>
      </c>
      <c r="E4" s="18" t="s">
        <v>18</v>
      </c>
      <c r="F4" s="18" t="s">
        <v>14</v>
      </c>
      <c r="G4" s="12">
        <v>45838.0</v>
      </c>
      <c r="H4" s="12">
        <v>45842.0</v>
      </c>
      <c r="I4" s="19" t="s">
        <v>15</v>
      </c>
      <c r="J4" s="15" t="str">
        <f t="shared" ref="J4:J85" si="54">IF(AND(ISNUMBER(G4), ISNUMBER(H4), 45838&gt;=G4, 45838&lt;=H4), F4, "")</f>
        <v>진행중</v>
      </c>
      <c r="K4" s="15" t="str">
        <f t="shared" ref="K4:K85" si="55">IF(AND(ISNUMBER(G4), ISNUMBER(H4), 45839&gt;=G4, 45839&lt;=H4), F4, "")</f>
        <v>진행중</v>
      </c>
      <c r="L4" s="15" t="str">
        <f t="shared" si="3"/>
        <v>진행중</v>
      </c>
      <c r="M4" s="15" t="str">
        <f t="shared" si="4"/>
        <v>진행중</v>
      </c>
      <c r="N4" s="15" t="str">
        <f t="shared" si="5"/>
        <v>진행중</v>
      </c>
      <c r="O4" s="14" t="str">
        <f t="shared" si="6"/>
        <v/>
      </c>
      <c r="P4" s="14" t="str">
        <f t="shared" si="7"/>
        <v/>
      </c>
      <c r="Q4" s="14" t="str">
        <f t="shared" si="8"/>
        <v/>
      </c>
      <c r="R4" s="14" t="str">
        <f t="shared" si="9"/>
        <v/>
      </c>
      <c r="S4" s="14" t="str">
        <f t="shared" si="10"/>
        <v/>
      </c>
      <c r="T4" s="14" t="str">
        <f t="shared" si="11"/>
        <v/>
      </c>
      <c r="U4" s="14" t="str">
        <f t="shared" si="12"/>
        <v/>
      </c>
      <c r="V4" s="14" t="str">
        <f t="shared" si="13"/>
        <v/>
      </c>
      <c r="W4" s="14" t="str">
        <f t="shared" si="14"/>
        <v/>
      </c>
      <c r="X4" s="14" t="str">
        <f t="shared" si="15"/>
        <v/>
      </c>
      <c r="Y4" s="14" t="str">
        <f t="shared" si="16"/>
        <v/>
      </c>
      <c r="Z4" s="14" t="str">
        <f t="shared" si="17"/>
        <v/>
      </c>
      <c r="AA4" s="14" t="str">
        <f t="shared" si="18"/>
        <v/>
      </c>
      <c r="AB4" s="14" t="str">
        <f t="shared" si="19"/>
        <v/>
      </c>
      <c r="AC4" s="14" t="str">
        <f t="shared" si="20"/>
        <v/>
      </c>
      <c r="AD4" s="14" t="str">
        <f t="shared" si="21"/>
        <v/>
      </c>
      <c r="AE4" s="14" t="str">
        <f t="shared" si="22"/>
        <v/>
      </c>
      <c r="AF4" s="14" t="str">
        <f t="shared" si="23"/>
        <v/>
      </c>
      <c r="AG4" s="14" t="str">
        <f t="shared" si="24"/>
        <v/>
      </c>
      <c r="AH4" s="14" t="str">
        <f t="shared" si="25"/>
        <v/>
      </c>
      <c r="AI4" s="14" t="str">
        <f t="shared" si="26"/>
        <v/>
      </c>
      <c r="AJ4" s="14" t="str">
        <f t="shared" si="27"/>
        <v/>
      </c>
      <c r="AK4" s="14" t="str">
        <f t="shared" si="28"/>
        <v/>
      </c>
      <c r="AL4" s="14" t="str">
        <f t="shared" si="29"/>
        <v/>
      </c>
      <c r="AM4" s="14" t="str">
        <f t="shared" si="30"/>
        <v/>
      </c>
      <c r="AN4" s="14" t="str">
        <f t="shared" si="31"/>
        <v/>
      </c>
      <c r="AO4" s="14" t="str">
        <f t="shared" si="32"/>
        <v/>
      </c>
      <c r="AP4" s="14" t="str">
        <f t="shared" si="33"/>
        <v/>
      </c>
      <c r="AQ4" s="14" t="str">
        <f t="shared" si="34"/>
        <v/>
      </c>
      <c r="AR4" s="14" t="str">
        <f t="shared" si="35"/>
        <v/>
      </c>
      <c r="AS4" s="14" t="str">
        <f t="shared" si="36"/>
        <v/>
      </c>
      <c r="AT4" s="14" t="str">
        <f t="shared" si="37"/>
        <v/>
      </c>
      <c r="AU4" s="14" t="str">
        <f t="shared" si="38"/>
        <v/>
      </c>
      <c r="AV4" s="14" t="str">
        <f t="shared" si="39"/>
        <v/>
      </c>
      <c r="AW4" s="14" t="str">
        <f t="shared" si="40"/>
        <v/>
      </c>
      <c r="AX4" s="14" t="str">
        <f t="shared" si="41"/>
        <v/>
      </c>
      <c r="AY4" s="14" t="str">
        <f t="shared" si="42"/>
        <v/>
      </c>
      <c r="AZ4" s="14" t="str">
        <f t="shared" si="43"/>
        <v/>
      </c>
      <c r="BA4" s="14" t="str">
        <f t="shared" si="44"/>
        <v/>
      </c>
      <c r="BB4" s="14" t="str">
        <f t="shared" si="45"/>
        <v/>
      </c>
      <c r="BC4" s="14" t="str">
        <f t="shared" si="46"/>
        <v/>
      </c>
      <c r="BD4" s="14" t="str">
        <f t="shared" si="47"/>
        <v/>
      </c>
      <c r="BE4" s="14" t="str">
        <f t="shared" si="48"/>
        <v/>
      </c>
      <c r="BF4" s="14" t="str">
        <f t="shared" si="49"/>
        <v/>
      </c>
      <c r="BG4" s="14" t="str">
        <f t="shared" si="50"/>
        <v/>
      </c>
      <c r="BH4" s="14" t="str">
        <f t="shared" si="51"/>
        <v/>
      </c>
      <c r="BI4" s="14" t="str">
        <f t="shared" si="52"/>
        <v/>
      </c>
      <c r="BJ4" s="14" t="str">
        <f t="shared" si="53"/>
        <v/>
      </c>
      <c r="BK4" s="7"/>
      <c r="BL4" s="7"/>
      <c r="BM4" s="7"/>
      <c r="BN4" s="7"/>
      <c r="BO4" s="7"/>
      <c r="BP4" s="7"/>
      <c r="BQ4" s="7"/>
      <c r="BR4" s="7"/>
      <c r="BS4" s="7"/>
      <c r="BT4" s="7"/>
    </row>
    <row r="5" ht="15.75" customHeight="1">
      <c r="A5" s="16" t="s">
        <v>22</v>
      </c>
      <c r="D5" s="22" t="s">
        <v>23</v>
      </c>
      <c r="E5" s="23" t="s">
        <v>24</v>
      </c>
      <c r="F5" s="23" t="s">
        <v>14</v>
      </c>
      <c r="G5" s="12">
        <v>45838.0</v>
      </c>
      <c r="H5" s="12">
        <v>45842.0</v>
      </c>
      <c r="I5" s="19" t="s">
        <v>15</v>
      </c>
      <c r="J5" s="15" t="str">
        <f t="shared" si="54"/>
        <v>진행중</v>
      </c>
      <c r="K5" s="15" t="str">
        <f t="shared" si="55"/>
        <v>진행중</v>
      </c>
      <c r="L5" s="15" t="str">
        <f t="shared" si="3"/>
        <v>진행중</v>
      </c>
      <c r="M5" s="15" t="str">
        <f t="shared" si="4"/>
        <v>진행중</v>
      </c>
      <c r="N5" s="15" t="str">
        <f t="shared" si="5"/>
        <v>진행중</v>
      </c>
      <c r="O5" s="14" t="str">
        <f t="shared" si="6"/>
        <v/>
      </c>
      <c r="P5" s="14" t="str">
        <f t="shared" si="7"/>
        <v/>
      </c>
      <c r="Q5" s="14" t="str">
        <f t="shared" si="8"/>
        <v/>
      </c>
      <c r="R5" s="14" t="str">
        <f t="shared" si="9"/>
        <v/>
      </c>
      <c r="S5" s="14" t="str">
        <f t="shared" si="10"/>
        <v/>
      </c>
      <c r="T5" s="14" t="str">
        <f t="shared" si="11"/>
        <v/>
      </c>
      <c r="U5" s="14" t="str">
        <f t="shared" si="12"/>
        <v/>
      </c>
      <c r="V5" s="14" t="str">
        <f t="shared" si="13"/>
        <v/>
      </c>
      <c r="W5" s="14" t="str">
        <f t="shared" si="14"/>
        <v/>
      </c>
      <c r="X5" s="14" t="str">
        <f t="shared" si="15"/>
        <v/>
      </c>
      <c r="Y5" s="14" t="str">
        <f t="shared" si="16"/>
        <v/>
      </c>
      <c r="Z5" s="14" t="str">
        <f t="shared" si="17"/>
        <v/>
      </c>
      <c r="AA5" s="14" t="str">
        <f t="shared" si="18"/>
        <v/>
      </c>
      <c r="AB5" s="14" t="str">
        <f t="shared" si="19"/>
        <v/>
      </c>
      <c r="AC5" s="14" t="str">
        <f t="shared" si="20"/>
        <v/>
      </c>
      <c r="AD5" s="14" t="str">
        <f t="shared" si="21"/>
        <v/>
      </c>
      <c r="AE5" s="14" t="str">
        <f t="shared" si="22"/>
        <v/>
      </c>
      <c r="AF5" s="14" t="str">
        <f t="shared" si="23"/>
        <v/>
      </c>
      <c r="AG5" s="14" t="str">
        <f t="shared" si="24"/>
        <v/>
      </c>
      <c r="AH5" s="14" t="str">
        <f t="shared" si="25"/>
        <v/>
      </c>
      <c r="AI5" s="14" t="str">
        <f t="shared" si="26"/>
        <v/>
      </c>
      <c r="AJ5" s="14" t="str">
        <f t="shared" si="27"/>
        <v/>
      </c>
      <c r="AK5" s="14" t="str">
        <f t="shared" si="28"/>
        <v/>
      </c>
      <c r="AL5" s="14" t="str">
        <f t="shared" si="29"/>
        <v/>
      </c>
      <c r="AM5" s="14" t="str">
        <f t="shared" si="30"/>
        <v/>
      </c>
      <c r="AN5" s="14" t="str">
        <f t="shared" si="31"/>
        <v/>
      </c>
      <c r="AO5" s="14" t="str">
        <f t="shared" si="32"/>
        <v/>
      </c>
      <c r="AP5" s="14" t="str">
        <f t="shared" si="33"/>
        <v/>
      </c>
      <c r="AQ5" s="14" t="str">
        <f t="shared" si="34"/>
        <v/>
      </c>
      <c r="AR5" s="14" t="str">
        <f t="shared" si="35"/>
        <v/>
      </c>
      <c r="AS5" s="14" t="str">
        <f t="shared" si="36"/>
        <v/>
      </c>
      <c r="AT5" s="14" t="str">
        <f t="shared" si="37"/>
        <v/>
      </c>
      <c r="AU5" s="14" t="str">
        <f t="shared" si="38"/>
        <v/>
      </c>
      <c r="AV5" s="14" t="str">
        <f t="shared" si="39"/>
        <v/>
      </c>
      <c r="AW5" s="14" t="str">
        <f t="shared" si="40"/>
        <v/>
      </c>
      <c r="AX5" s="14" t="str">
        <f t="shared" si="41"/>
        <v/>
      </c>
      <c r="AY5" s="14" t="str">
        <f t="shared" si="42"/>
        <v/>
      </c>
      <c r="AZ5" s="14" t="str">
        <f t="shared" si="43"/>
        <v/>
      </c>
      <c r="BA5" s="14" t="str">
        <f t="shared" si="44"/>
        <v/>
      </c>
      <c r="BB5" s="14" t="str">
        <f t="shared" si="45"/>
        <v/>
      </c>
      <c r="BC5" s="14" t="str">
        <f t="shared" si="46"/>
        <v/>
      </c>
      <c r="BD5" s="14" t="str">
        <f t="shared" si="47"/>
        <v/>
      </c>
      <c r="BE5" s="14" t="str">
        <f t="shared" si="48"/>
        <v/>
      </c>
      <c r="BF5" s="14" t="str">
        <f t="shared" si="49"/>
        <v/>
      </c>
      <c r="BG5" s="14" t="str">
        <f t="shared" si="50"/>
        <v/>
      </c>
      <c r="BH5" s="14" t="str">
        <f t="shared" si="51"/>
        <v/>
      </c>
      <c r="BI5" s="14" t="str">
        <f t="shared" si="52"/>
        <v/>
      </c>
      <c r="BJ5" s="14" t="str">
        <f t="shared" si="53"/>
        <v/>
      </c>
      <c r="BK5" s="7"/>
      <c r="BL5" s="7"/>
      <c r="BM5" s="7"/>
      <c r="BN5" s="7"/>
      <c r="BO5" s="7"/>
      <c r="BP5" s="7"/>
      <c r="BQ5" s="7"/>
      <c r="BR5" s="7"/>
      <c r="BS5" s="7"/>
      <c r="BT5" s="7"/>
    </row>
    <row r="6" ht="15.75" customHeight="1">
      <c r="A6" s="16" t="s">
        <v>25</v>
      </c>
      <c r="D6" s="22" t="s">
        <v>26</v>
      </c>
      <c r="E6" s="23" t="s">
        <v>13</v>
      </c>
      <c r="F6" s="23" t="s">
        <v>27</v>
      </c>
      <c r="G6" s="12">
        <v>45859.0</v>
      </c>
      <c r="H6" s="12">
        <v>45863.0</v>
      </c>
      <c r="I6" s="24"/>
      <c r="J6" s="14" t="str">
        <f t="shared" si="54"/>
        <v/>
      </c>
      <c r="K6" s="14" t="str">
        <f t="shared" si="55"/>
        <v/>
      </c>
      <c r="L6" s="14" t="str">
        <f t="shared" si="3"/>
        <v/>
      </c>
      <c r="M6" s="14" t="str">
        <f t="shared" si="4"/>
        <v/>
      </c>
      <c r="N6" s="14" t="str">
        <f t="shared" si="5"/>
        <v/>
      </c>
      <c r="O6" s="14" t="str">
        <f t="shared" si="6"/>
        <v/>
      </c>
      <c r="P6" s="14" t="str">
        <f t="shared" si="7"/>
        <v/>
      </c>
      <c r="Q6" s="14" t="str">
        <f t="shared" si="8"/>
        <v/>
      </c>
      <c r="R6" s="14" t="str">
        <f t="shared" si="9"/>
        <v/>
      </c>
      <c r="S6" s="14" t="str">
        <f t="shared" si="10"/>
        <v/>
      </c>
      <c r="T6" s="14" t="str">
        <f t="shared" si="11"/>
        <v/>
      </c>
      <c r="U6" s="14" t="str">
        <f t="shared" si="12"/>
        <v/>
      </c>
      <c r="V6" s="14" t="str">
        <f t="shared" si="13"/>
        <v/>
      </c>
      <c r="W6" s="14" t="str">
        <f t="shared" si="14"/>
        <v/>
      </c>
      <c r="X6" s="14" t="str">
        <f t="shared" si="15"/>
        <v/>
      </c>
      <c r="Y6" s="14" t="str">
        <f t="shared" si="16"/>
        <v/>
      </c>
      <c r="Z6" s="14" t="str">
        <f t="shared" si="17"/>
        <v/>
      </c>
      <c r="AA6" s="14" t="str">
        <f t="shared" si="18"/>
        <v/>
      </c>
      <c r="AB6" s="14" t="str">
        <f t="shared" si="19"/>
        <v/>
      </c>
      <c r="AC6" s="14" t="str">
        <f t="shared" si="20"/>
        <v/>
      </c>
      <c r="AD6" s="14" t="str">
        <f t="shared" si="21"/>
        <v/>
      </c>
      <c r="AE6" s="25" t="str">
        <f t="shared" si="22"/>
        <v>진행 예정</v>
      </c>
      <c r="AF6" s="25" t="str">
        <f t="shared" si="23"/>
        <v>진행 예정</v>
      </c>
      <c r="AG6" s="25" t="str">
        <f t="shared" si="24"/>
        <v>진행 예정</v>
      </c>
      <c r="AH6" s="25" t="str">
        <f t="shared" si="25"/>
        <v>진행 예정</v>
      </c>
      <c r="AI6" s="25" t="str">
        <f t="shared" si="26"/>
        <v>진행 예정</v>
      </c>
      <c r="AJ6" s="14" t="str">
        <f t="shared" si="27"/>
        <v/>
      </c>
      <c r="AK6" s="14" t="str">
        <f t="shared" si="28"/>
        <v/>
      </c>
      <c r="AL6" s="14" t="str">
        <f t="shared" si="29"/>
        <v/>
      </c>
      <c r="AM6" s="14" t="str">
        <f t="shared" si="30"/>
        <v/>
      </c>
      <c r="AN6" s="14" t="str">
        <f t="shared" si="31"/>
        <v/>
      </c>
      <c r="AO6" s="14" t="str">
        <f t="shared" si="32"/>
        <v/>
      </c>
      <c r="AP6" s="14" t="str">
        <f t="shared" si="33"/>
        <v/>
      </c>
      <c r="AQ6" s="14" t="str">
        <f t="shared" si="34"/>
        <v/>
      </c>
      <c r="AR6" s="14" t="str">
        <f t="shared" si="35"/>
        <v/>
      </c>
      <c r="AS6" s="14" t="str">
        <f t="shared" si="36"/>
        <v/>
      </c>
      <c r="AT6" s="14" t="str">
        <f t="shared" si="37"/>
        <v/>
      </c>
      <c r="AU6" s="14" t="str">
        <f t="shared" si="38"/>
        <v/>
      </c>
      <c r="AV6" s="14" t="str">
        <f t="shared" si="39"/>
        <v/>
      </c>
      <c r="AW6" s="14" t="str">
        <f t="shared" si="40"/>
        <v/>
      </c>
      <c r="AX6" s="14" t="str">
        <f t="shared" si="41"/>
        <v/>
      </c>
      <c r="AY6" s="14" t="str">
        <f t="shared" si="42"/>
        <v/>
      </c>
      <c r="AZ6" s="14" t="str">
        <f t="shared" si="43"/>
        <v/>
      </c>
      <c r="BA6" s="14" t="str">
        <f t="shared" si="44"/>
        <v/>
      </c>
      <c r="BB6" s="14" t="str">
        <f t="shared" si="45"/>
        <v/>
      </c>
      <c r="BC6" s="14" t="str">
        <f t="shared" si="46"/>
        <v/>
      </c>
      <c r="BD6" s="14" t="str">
        <f t="shared" si="47"/>
        <v/>
      </c>
      <c r="BE6" s="14" t="str">
        <f t="shared" si="48"/>
        <v/>
      </c>
      <c r="BF6" s="14" t="str">
        <f t="shared" si="49"/>
        <v/>
      </c>
      <c r="BG6" s="14" t="str">
        <f t="shared" si="50"/>
        <v/>
      </c>
      <c r="BH6" s="14" t="str">
        <f t="shared" si="51"/>
        <v/>
      </c>
      <c r="BI6" s="14" t="str">
        <f t="shared" si="52"/>
        <v/>
      </c>
      <c r="BJ6" s="14" t="str">
        <f t="shared" si="53"/>
        <v/>
      </c>
      <c r="BK6" s="7"/>
      <c r="BL6" s="7"/>
      <c r="BM6" s="7"/>
      <c r="BN6" s="7"/>
      <c r="BO6" s="7"/>
      <c r="BP6" s="7"/>
      <c r="BQ6" s="7"/>
      <c r="BR6" s="7"/>
      <c r="BS6" s="7"/>
      <c r="BT6" s="7"/>
    </row>
    <row r="7" ht="15.75" customHeight="1">
      <c r="A7" s="16" t="s">
        <v>28</v>
      </c>
      <c r="D7" s="22" t="s">
        <v>29</v>
      </c>
      <c r="E7" s="23" t="s">
        <v>18</v>
      </c>
      <c r="F7" s="23" t="s">
        <v>19</v>
      </c>
      <c r="G7" s="12">
        <v>45838.0</v>
      </c>
      <c r="H7" s="12">
        <v>45849.0</v>
      </c>
      <c r="I7" s="24"/>
      <c r="J7" s="25" t="str">
        <f t="shared" si="54"/>
        <v>완료</v>
      </c>
      <c r="K7" s="25" t="str">
        <f t="shared" si="55"/>
        <v>완료</v>
      </c>
      <c r="L7" s="25" t="str">
        <f t="shared" si="3"/>
        <v>완료</v>
      </c>
      <c r="M7" s="25" t="str">
        <f t="shared" si="4"/>
        <v>완료</v>
      </c>
      <c r="N7" s="25" t="str">
        <f t="shared" si="5"/>
        <v>완료</v>
      </c>
      <c r="O7" s="25" t="str">
        <f t="shared" si="6"/>
        <v>완료</v>
      </c>
      <c r="P7" s="25" t="str">
        <f t="shared" si="7"/>
        <v>완료</v>
      </c>
      <c r="Q7" s="25" t="str">
        <f t="shared" si="8"/>
        <v>완료</v>
      </c>
      <c r="R7" s="25" t="str">
        <f t="shared" si="9"/>
        <v>완료</v>
      </c>
      <c r="S7" s="25" t="str">
        <f t="shared" si="10"/>
        <v>완료</v>
      </c>
      <c r="T7" s="25" t="str">
        <f t="shared" si="11"/>
        <v>완료</v>
      </c>
      <c r="U7" s="25" t="str">
        <f t="shared" si="12"/>
        <v>완료</v>
      </c>
      <c r="V7" s="14" t="str">
        <f t="shared" si="13"/>
        <v/>
      </c>
      <c r="W7" s="14" t="str">
        <f t="shared" si="14"/>
        <v/>
      </c>
      <c r="X7" s="14" t="str">
        <f t="shared" si="15"/>
        <v/>
      </c>
      <c r="Y7" s="14" t="str">
        <f t="shared" si="16"/>
        <v/>
      </c>
      <c r="Z7" s="14" t="str">
        <f t="shared" si="17"/>
        <v/>
      </c>
      <c r="AA7" s="14" t="str">
        <f t="shared" si="18"/>
        <v/>
      </c>
      <c r="AB7" s="14" t="str">
        <f t="shared" si="19"/>
        <v/>
      </c>
      <c r="AC7" s="14" t="str">
        <f t="shared" si="20"/>
        <v/>
      </c>
      <c r="AD7" s="14" t="str">
        <f t="shared" si="21"/>
        <v/>
      </c>
      <c r="AE7" s="14" t="str">
        <f t="shared" si="22"/>
        <v/>
      </c>
      <c r="AF7" s="14" t="str">
        <f t="shared" si="23"/>
        <v/>
      </c>
      <c r="AG7" s="14" t="str">
        <f t="shared" si="24"/>
        <v/>
      </c>
      <c r="AH7" s="14" t="str">
        <f t="shared" si="25"/>
        <v/>
      </c>
      <c r="AI7" s="14" t="str">
        <f t="shared" si="26"/>
        <v/>
      </c>
      <c r="AJ7" s="14" t="str">
        <f t="shared" si="27"/>
        <v/>
      </c>
      <c r="AK7" s="14" t="str">
        <f t="shared" si="28"/>
        <v/>
      </c>
      <c r="AL7" s="14" t="str">
        <f t="shared" si="29"/>
        <v/>
      </c>
      <c r="AM7" s="14" t="str">
        <f t="shared" si="30"/>
        <v/>
      </c>
      <c r="AN7" s="14" t="str">
        <f t="shared" si="31"/>
        <v/>
      </c>
      <c r="AO7" s="14" t="str">
        <f t="shared" si="32"/>
        <v/>
      </c>
      <c r="AP7" s="14" t="str">
        <f t="shared" si="33"/>
        <v/>
      </c>
      <c r="AQ7" s="14" t="str">
        <f t="shared" si="34"/>
        <v/>
      </c>
      <c r="AR7" s="14" t="str">
        <f t="shared" si="35"/>
        <v/>
      </c>
      <c r="AS7" s="14" t="str">
        <f t="shared" si="36"/>
        <v/>
      </c>
      <c r="AT7" s="14" t="str">
        <f t="shared" si="37"/>
        <v/>
      </c>
      <c r="AU7" s="14" t="str">
        <f t="shared" si="38"/>
        <v/>
      </c>
      <c r="AV7" s="14" t="str">
        <f t="shared" si="39"/>
        <v/>
      </c>
      <c r="AW7" s="14" t="str">
        <f t="shared" si="40"/>
        <v/>
      </c>
      <c r="AX7" s="14" t="str">
        <f t="shared" si="41"/>
        <v/>
      </c>
      <c r="AY7" s="14" t="str">
        <f t="shared" si="42"/>
        <v/>
      </c>
      <c r="AZ7" s="14" t="str">
        <f t="shared" si="43"/>
        <v/>
      </c>
      <c r="BA7" s="14" t="str">
        <f t="shared" si="44"/>
        <v/>
      </c>
      <c r="BB7" s="14" t="str">
        <f t="shared" si="45"/>
        <v/>
      </c>
      <c r="BC7" s="14" t="str">
        <f t="shared" si="46"/>
        <v/>
      </c>
      <c r="BD7" s="14" t="str">
        <f t="shared" si="47"/>
        <v/>
      </c>
      <c r="BE7" s="14" t="str">
        <f t="shared" si="48"/>
        <v/>
      </c>
      <c r="BF7" s="14" t="str">
        <f t="shared" si="49"/>
        <v/>
      </c>
      <c r="BG7" s="14" t="str">
        <f t="shared" si="50"/>
        <v/>
      </c>
      <c r="BH7" s="14" t="str">
        <f t="shared" si="51"/>
        <v/>
      </c>
      <c r="BI7" s="14" t="str">
        <f t="shared" si="52"/>
        <v/>
      </c>
      <c r="BJ7" s="14" t="str">
        <f t="shared" si="53"/>
        <v/>
      </c>
      <c r="BK7" s="7"/>
      <c r="BL7" s="7"/>
      <c r="BM7" s="7"/>
      <c r="BN7" s="7"/>
      <c r="BO7" s="7"/>
      <c r="BP7" s="7"/>
      <c r="BQ7" s="7"/>
      <c r="BR7" s="7"/>
      <c r="BS7" s="7"/>
      <c r="BT7" s="7"/>
    </row>
    <row r="8" ht="15.75" customHeight="1">
      <c r="A8" s="16" t="s">
        <v>30</v>
      </c>
      <c r="D8" s="22" t="s">
        <v>31</v>
      </c>
      <c r="E8" s="23" t="s">
        <v>32</v>
      </c>
      <c r="F8" s="23" t="s">
        <v>27</v>
      </c>
      <c r="G8" s="12">
        <v>45845.0</v>
      </c>
      <c r="H8" s="12">
        <v>45849.0</v>
      </c>
      <c r="I8" s="24"/>
      <c r="J8" s="14" t="str">
        <f t="shared" si="54"/>
        <v/>
      </c>
      <c r="K8" s="14" t="str">
        <f t="shared" si="55"/>
        <v/>
      </c>
      <c r="L8" s="14" t="str">
        <f t="shared" si="3"/>
        <v/>
      </c>
      <c r="M8" s="14" t="str">
        <f t="shared" si="4"/>
        <v/>
      </c>
      <c r="N8" s="14" t="str">
        <f t="shared" si="5"/>
        <v/>
      </c>
      <c r="O8" s="14" t="str">
        <f t="shared" si="6"/>
        <v/>
      </c>
      <c r="P8" s="14" t="str">
        <f t="shared" si="7"/>
        <v/>
      </c>
      <c r="Q8" s="25" t="str">
        <f t="shared" si="8"/>
        <v>진행 예정</v>
      </c>
      <c r="R8" s="25" t="str">
        <f t="shared" si="9"/>
        <v>진행 예정</v>
      </c>
      <c r="S8" s="25" t="str">
        <f t="shared" si="10"/>
        <v>진행 예정</v>
      </c>
      <c r="T8" s="25" t="str">
        <f t="shared" si="11"/>
        <v>진행 예정</v>
      </c>
      <c r="U8" s="25" t="str">
        <f t="shared" si="12"/>
        <v>진행 예정</v>
      </c>
      <c r="V8" s="14" t="str">
        <f t="shared" si="13"/>
        <v/>
      </c>
      <c r="W8" s="14" t="str">
        <f t="shared" si="14"/>
        <v/>
      </c>
      <c r="X8" s="14" t="str">
        <f t="shared" si="15"/>
        <v/>
      </c>
      <c r="Y8" s="14" t="str">
        <f t="shared" si="16"/>
        <v/>
      </c>
      <c r="Z8" s="14" t="str">
        <f t="shared" si="17"/>
        <v/>
      </c>
      <c r="AA8" s="14" t="str">
        <f t="shared" si="18"/>
        <v/>
      </c>
      <c r="AB8" s="14" t="str">
        <f t="shared" si="19"/>
        <v/>
      </c>
      <c r="AC8" s="14" t="str">
        <f t="shared" si="20"/>
        <v/>
      </c>
      <c r="AD8" s="14" t="str">
        <f t="shared" si="21"/>
        <v/>
      </c>
      <c r="AE8" s="14" t="str">
        <f t="shared" si="22"/>
        <v/>
      </c>
      <c r="AF8" s="14" t="str">
        <f t="shared" si="23"/>
        <v/>
      </c>
      <c r="AG8" s="14" t="str">
        <f t="shared" si="24"/>
        <v/>
      </c>
      <c r="AH8" s="14" t="str">
        <f t="shared" si="25"/>
        <v/>
      </c>
      <c r="AI8" s="14" t="str">
        <f t="shared" si="26"/>
        <v/>
      </c>
      <c r="AJ8" s="14" t="str">
        <f t="shared" si="27"/>
        <v/>
      </c>
      <c r="AK8" s="14" t="str">
        <f t="shared" si="28"/>
        <v/>
      </c>
      <c r="AL8" s="14" t="str">
        <f t="shared" si="29"/>
        <v/>
      </c>
      <c r="AM8" s="14" t="str">
        <f t="shared" si="30"/>
        <v/>
      </c>
      <c r="AN8" s="14" t="str">
        <f t="shared" si="31"/>
        <v/>
      </c>
      <c r="AO8" s="14" t="str">
        <f t="shared" si="32"/>
        <v/>
      </c>
      <c r="AP8" s="14" t="str">
        <f t="shared" si="33"/>
        <v/>
      </c>
      <c r="AQ8" s="14" t="str">
        <f t="shared" si="34"/>
        <v/>
      </c>
      <c r="AR8" s="14" t="str">
        <f t="shared" si="35"/>
        <v/>
      </c>
      <c r="AS8" s="14" t="str">
        <f t="shared" si="36"/>
        <v/>
      </c>
      <c r="AT8" s="14" t="str">
        <f t="shared" si="37"/>
        <v/>
      </c>
      <c r="AU8" s="14" t="str">
        <f t="shared" si="38"/>
        <v/>
      </c>
      <c r="AV8" s="14" t="str">
        <f t="shared" si="39"/>
        <v/>
      </c>
      <c r="AW8" s="14" t="str">
        <f t="shared" si="40"/>
        <v/>
      </c>
      <c r="AX8" s="14" t="str">
        <f t="shared" si="41"/>
        <v/>
      </c>
      <c r="AY8" s="14" t="str">
        <f t="shared" si="42"/>
        <v/>
      </c>
      <c r="AZ8" s="14" t="str">
        <f t="shared" si="43"/>
        <v/>
      </c>
      <c r="BA8" s="14" t="str">
        <f t="shared" si="44"/>
        <v/>
      </c>
      <c r="BB8" s="14" t="str">
        <f t="shared" si="45"/>
        <v/>
      </c>
      <c r="BC8" s="14" t="str">
        <f t="shared" si="46"/>
        <v/>
      </c>
      <c r="BD8" s="14" t="str">
        <f t="shared" si="47"/>
        <v/>
      </c>
      <c r="BE8" s="14" t="str">
        <f t="shared" si="48"/>
        <v/>
      </c>
      <c r="BF8" s="14" t="str">
        <f t="shared" si="49"/>
        <v/>
      </c>
      <c r="BG8" s="14" t="str">
        <f t="shared" si="50"/>
        <v/>
      </c>
      <c r="BH8" s="14" t="str">
        <f t="shared" si="51"/>
        <v/>
      </c>
      <c r="BI8" s="14" t="str">
        <f t="shared" si="52"/>
        <v/>
      </c>
      <c r="BJ8" s="14" t="str">
        <f t="shared" si="53"/>
        <v/>
      </c>
      <c r="BK8" s="7"/>
      <c r="BL8" s="7"/>
      <c r="BM8" s="7"/>
      <c r="BN8" s="7"/>
      <c r="BO8" s="7"/>
      <c r="BP8" s="7"/>
      <c r="BQ8" s="7"/>
      <c r="BR8" s="7"/>
      <c r="BS8" s="7"/>
      <c r="BT8" s="7"/>
    </row>
    <row r="9" ht="15.75" customHeight="1">
      <c r="A9" s="16" t="s">
        <v>33</v>
      </c>
      <c r="D9" s="22" t="s">
        <v>34</v>
      </c>
      <c r="E9" s="23" t="s">
        <v>24</v>
      </c>
      <c r="F9" s="23" t="s">
        <v>14</v>
      </c>
      <c r="G9" s="12">
        <v>45839.0</v>
      </c>
      <c r="H9" s="12">
        <v>45849.0</v>
      </c>
      <c r="I9" s="24"/>
      <c r="J9" s="14" t="str">
        <f t="shared" si="54"/>
        <v/>
      </c>
      <c r="K9" s="15" t="str">
        <f t="shared" si="55"/>
        <v>진행중</v>
      </c>
      <c r="L9" s="15" t="str">
        <f t="shared" si="3"/>
        <v>진행중</v>
      </c>
      <c r="M9" s="15" t="str">
        <f t="shared" si="4"/>
        <v>진행중</v>
      </c>
      <c r="N9" s="15" t="str">
        <f t="shared" si="5"/>
        <v>진행중</v>
      </c>
      <c r="O9" s="15" t="str">
        <f t="shared" si="6"/>
        <v>진행중</v>
      </c>
      <c r="P9" s="15" t="str">
        <f t="shared" si="7"/>
        <v>진행중</v>
      </c>
      <c r="Q9" s="15" t="str">
        <f t="shared" si="8"/>
        <v>진행중</v>
      </c>
      <c r="R9" s="15" t="str">
        <f t="shared" si="9"/>
        <v>진행중</v>
      </c>
      <c r="S9" s="15" t="str">
        <f t="shared" si="10"/>
        <v>진행중</v>
      </c>
      <c r="T9" s="15" t="str">
        <f t="shared" si="11"/>
        <v>진행중</v>
      </c>
      <c r="U9" s="15" t="str">
        <f t="shared" si="12"/>
        <v>진행중</v>
      </c>
      <c r="V9" s="14" t="str">
        <f t="shared" si="13"/>
        <v/>
      </c>
      <c r="W9" s="14" t="str">
        <f t="shared" si="14"/>
        <v/>
      </c>
      <c r="X9" s="14" t="str">
        <f t="shared" si="15"/>
        <v/>
      </c>
      <c r="Y9" s="14" t="str">
        <f t="shared" si="16"/>
        <v/>
      </c>
      <c r="Z9" s="14" t="str">
        <f t="shared" si="17"/>
        <v/>
      </c>
      <c r="AA9" s="14" t="str">
        <f t="shared" si="18"/>
        <v/>
      </c>
      <c r="AB9" s="14" t="str">
        <f t="shared" si="19"/>
        <v/>
      </c>
      <c r="AC9" s="14" t="str">
        <f t="shared" si="20"/>
        <v/>
      </c>
      <c r="AD9" s="14" t="str">
        <f t="shared" si="21"/>
        <v/>
      </c>
      <c r="AE9" s="14" t="str">
        <f t="shared" si="22"/>
        <v/>
      </c>
      <c r="AF9" s="14" t="str">
        <f t="shared" si="23"/>
        <v/>
      </c>
      <c r="AG9" s="14" t="str">
        <f t="shared" si="24"/>
        <v/>
      </c>
      <c r="AH9" s="14" t="str">
        <f t="shared" si="25"/>
        <v/>
      </c>
      <c r="AI9" s="14" t="str">
        <f t="shared" si="26"/>
        <v/>
      </c>
      <c r="AJ9" s="14" t="str">
        <f t="shared" si="27"/>
        <v/>
      </c>
      <c r="AK9" s="14" t="str">
        <f t="shared" si="28"/>
        <v/>
      </c>
      <c r="AL9" s="14" t="str">
        <f t="shared" si="29"/>
        <v/>
      </c>
      <c r="AM9" s="14" t="str">
        <f t="shared" si="30"/>
        <v/>
      </c>
      <c r="AN9" s="14" t="str">
        <f t="shared" si="31"/>
        <v/>
      </c>
      <c r="AO9" s="14" t="str">
        <f t="shared" si="32"/>
        <v/>
      </c>
      <c r="AP9" s="14" t="str">
        <f t="shared" si="33"/>
        <v/>
      </c>
      <c r="AQ9" s="14" t="str">
        <f t="shared" si="34"/>
        <v/>
      </c>
      <c r="AR9" s="14" t="str">
        <f t="shared" si="35"/>
        <v/>
      </c>
      <c r="AS9" s="14" t="str">
        <f t="shared" si="36"/>
        <v/>
      </c>
      <c r="AT9" s="14" t="str">
        <f t="shared" si="37"/>
        <v/>
      </c>
      <c r="AU9" s="14" t="str">
        <f t="shared" si="38"/>
        <v/>
      </c>
      <c r="AV9" s="14" t="str">
        <f t="shared" si="39"/>
        <v/>
      </c>
      <c r="AW9" s="14" t="str">
        <f t="shared" si="40"/>
        <v/>
      </c>
      <c r="AX9" s="14" t="str">
        <f t="shared" si="41"/>
        <v/>
      </c>
      <c r="AY9" s="14" t="str">
        <f t="shared" si="42"/>
        <v/>
      </c>
      <c r="AZ9" s="14" t="str">
        <f t="shared" si="43"/>
        <v/>
      </c>
      <c r="BA9" s="14" t="str">
        <f t="shared" si="44"/>
        <v/>
      </c>
      <c r="BB9" s="14" t="str">
        <f t="shared" si="45"/>
        <v/>
      </c>
      <c r="BC9" s="14" t="str">
        <f t="shared" si="46"/>
        <v/>
      </c>
      <c r="BD9" s="14" t="str">
        <f t="shared" si="47"/>
        <v/>
      </c>
      <c r="BE9" s="14" t="str">
        <f t="shared" si="48"/>
        <v/>
      </c>
      <c r="BF9" s="14" t="str">
        <f t="shared" si="49"/>
        <v/>
      </c>
      <c r="BG9" s="14" t="str">
        <f t="shared" si="50"/>
        <v/>
      </c>
      <c r="BH9" s="14" t="str">
        <f t="shared" si="51"/>
        <v/>
      </c>
      <c r="BI9" s="14" t="str">
        <f t="shared" si="52"/>
        <v/>
      </c>
      <c r="BJ9" s="14" t="str">
        <f t="shared" si="53"/>
        <v/>
      </c>
      <c r="BK9" s="7"/>
      <c r="BL9" s="7"/>
      <c r="BM9" s="7"/>
      <c r="BN9" s="7"/>
      <c r="BO9" s="7"/>
      <c r="BP9" s="7"/>
      <c r="BQ9" s="7"/>
      <c r="BR9" s="7"/>
      <c r="BS9" s="7"/>
      <c r="BT9" s="7"/>
    </row>
    <row r="10" ht="15.75" customHeight="1">
      <c r="A10" s="26" t="s">
        <v>35</v>
      </c>
      <c r="B10" s="27"/>
      <c r="C10" s="27"/>
      <c r="D10" s="28" t="s">
        <v>36</v>
      </c>
      <c r="E10" s="29" t="s">
        <v>18</v>
      </c>
      <c r="F10" s="29" t="s">
        <v>27</v>
      </c>
      <c r="G10" s="12">
        <v>45852.0</v>
      </c>
      <c r="H10" s="12">
        <v>45856.0</v>
      </c>
      <c r="I10" s="30"/>
      <c r="J10" s="14" t="str">
        <f t="shared" si="54"/>
        <v/>
      </c>
      <c r="K10" s="14" t="str">
        <f t="shared" si="55"/>
        <v/>
      </c>
      <c r="L10" s="14" t="str">
        <f t="shared" si="3"/>
        <v/>
      </c>
      <c r="M10" s="14" t="str">
        <f t="shared" si="4"/>
        <v/>
      </c>
      <c r="N10" s="14" t="str">
        <f t="shared" si="5"/>
        <v/>
      </c>
      <c r="O10" s="14" t="str">
        <f t="shared" si="6"/>
        <v/>
      </c>
      <c r="P10" s="14" t="str">
        <f t="shared" si="7"/>
        <v/>
      </c>
      <c r="Q10" s="14" t="str">
        <f t="shared" si="8"/>
        <v/>
      </c>
      <c r="R10" s="14" t="str">
        <f t="shared" si="9"/>
        <v/>
      </c>
      <c r="S10" s="14" t="str">
        <f t="shared" si="10"/>
        <v/>
      </c>
      <c r="T10" s="14" t="str">
        <f t="shared" si="11"/>
        <v/>
      </c>
      <c r="U10" s="14" t="str">
        <f t="shared" si="12"/>
        <v/>
      </c>
      <c r="V10" s="14" t="str">
        <f t="shared" si="13"/>
        <v/>
      </c>
      <c r="W10" s="14" t="str">
        <f t="shared" si="14"/>
        <v/>
      </c>
      <c r="X10" s="25" t="str">
        <f t="shared" si="15"/>
        <v>진행 예정</v>
      </c>
      <c r="Y10" s="25" t="str">
        <f t="shared" si="16"/>
        <v>진행 예정</v>
      </c>
      <c r="Z10" s="25" t="str">
        <f t="shared" si="17"/>
        <v>진행 예정</v>
      </c>
      <c r="AA10" s="25" t="str">
        <f t="shared" si="18"/>
        <v>진행 예정</v>
      </c>
      <c r="AB10" s="25" t="str">
        <f t="shared" si="19"/>
        <v>진행 예정</v>
      </c>
      <c r="AC10" s="14" t="str">
        <f t="shared" si="20"/>
        <v/>
      </c>
      <c r="AD10" s="14" t="str">
        <f t="shared" si="21"/>
        <v/>
      </c>
      <c r="AE10" s="14" t="str">
        <f t="shared" si="22"/>
        <v/>
      </c>
      <c r="AF10" s="14" t="str">
        <f t="shared" si="23"/>
        <v/>
      </c>
      <c r="AG10" s="14" t="str">
        <f t="shared" si="24"/>
        <v/>
      </c>
      <c r="AH10" s="14" t="str">
        <f t="shared" si="25"/>
        <v/>
      </c>
      <c r="AI10" s="14" t="str">
        <f t="shared" si="26"/>
        <v/>
      </c>
      <c r="AJ10" s="14" t="str">
        <f t="shared" si="27"/>
        <v/>
      </c>
      <c r="AK10" s="14" t="str">
        <f t="shared" si="28"/>
        <v/>
      </c>
      <c r="AL10" s="14" t="str">
        <f t="shared" si="29"/>
        <v/>
      </c>
      <c r="AM10" s="14" t="str">
        <f t="shared" si="30"/>
        <v/>
      </c>
      <c r="AN10" s="14" t="str">
        <f t="shared" si="31"/>
        <v/>
      </c>
      <c r="AO10" s="14" t="str">
        <f t="shared" si="32"/>
        <v/>
      </c>
      <c r="AP10" s="14" t="str">
        <f t="shared" si="33"/>
        <v/>
      </c>
      <c r="AQ10" s="14" t="str">
        <f t="shared" si="34"/>
        <v/>
      </c>
      <c r="AR10" s="14" t="str">
        <f t="shared" si="35"/>
        <v/>
      </c>
      <c r="AS10" s="14" t="str">
        <f t="shared" si="36"/>
        <v/>
      </c>
      <c r="AT10" s="14" t="str">
        <f t="shared" si="37"/>
        <v/>
      </c>
      <c r="AU10" s="14" t="str">
        <f t="shared" si="38"/>
        <v/>
      </c>
      <c r="AV10" s="14" t="str">
        <f t="shared" si="39"/>
        <v/>
      </c>
      <c r="AW10" s="14" t="str">
        <f t="shared" si="40"/>
        <v/>
      </c>
      <c r="AX10" s="14" t="str">
        <f t="shared" si="41"/>
        <v/>
      </c>
      <c r="AY10" s="14" t="str">
        <f t="shared" si="42"/>
        <v/>
      </c>
      <c r="AZ10" s="14" t="str">
        <f t="shared" si="43"/>
        <v/>
      </c>
      <c r="BA10" s="14" t="str">
        <f t="shared" si="44"/>
        <v/>
      </c>
      <c r="BB10" s="14" t="str">
        <f t="shared" si="45"/>
        <v/>
      </c>
      <c r="BC10" s="14" t="str">
        <f t="shared" si="46"/>
        <v/>
      </c>
      <c r="BD10" s="14" t="str">
        <f t="shared" si="47"/>
        <v/>
      </c>
      <c r="BE10" s="14" t="str">
        <f t="shared" si="48"/>
        <v/>
      </c>
      <c r="BF10" s="14" t="str">
        <f t="shared" si="49"/>
        <v/>
      </c>
      <c r="BG10" s="14" t="str">
        <f t="shared" si="50"/>
        <v/>
      </c>
      <c r="BH10" s="14" t="str">
        <f t="shared" si="51"/>
        <v/>
      </c>
      <c r="BI10" s="14" t="str">
        <f t="shared" si="52"/>
        <v/>
      </c>
      <c r="BJ10" s="14" t="str">
        <f t="shared" si="53"/>
        <v/>
      </c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ht="15.75" customHeight="1">
      <c r="A11" s="8" t="s">
        <v>37</v>
      </c>
      <c r="B11" s="31" t="s">
        <v>38</v>
      </c>
      <c r="C11" s="32" t="s">
        <v>39</v>
      </c>
      <c r="D11" s="33" t="s">
        <v>40</v>
      </c>
      <c r="E11" s="34" t="s">
        <v>18</v>
      </c>
      <c r="F11" s="34" t="s">
        <v>27</v>
      </c>
      <c r="G11" s="12">
        <v>45845.0</v>
      </c>
      <c r="H11" s="12">
        <v>45849.0</v>
      </c>
      <c r="I11" s="35"/>
      <c r="J11" s="14" t="str">
        <f t="shared" si="54"/>
        <v/>
      </c>
      <c r="K11" s="14" t="str">
        <f t="shared" si="55"/>
        <v/>
      </c>
      <c r="L11" s="14" t="str">
        <f t="shared" si="3"/>
        <v/>
      </c>
      <c r="M11" s="14" t="str">
        <f t="shared" si="4"/>
        <v/>
      </c>
      <c r="N11" s="14" t="str">
        <f t="shared" si="5"/>
        <v/>
      </c>
      <c r="O11" s="14" t="str">
        <f t="shared" si="6"/>
        <v/>
      </c>
      <c r="P11" s="14" t="str">
        <f t="shared" si="7"/>
        <v/>
      </c>
      <c r="Q11" s="25" t="str">
        <f t="shared" si="8"/>
        <v>진행 예정</v>
      </c>
      <c r="R11" s="25" t="str">
        <f t="shared" si="9"/>
        <v>진행 예정</v>
      </c>
      <c r="S11" s="25" t="str">
        <f t="shared" si="10"/>
        <v>진행 예정</v>
      </c>
      <c r="T11" s="25" t="str">
        <f t="shared" si="11"/>
        <v>진행 예정</v>
      </c>
      <c r="U11" s="25" t="str">
        <f t="shared" si="12"/>
        <v>진행 예정</v>
      </c>
      <c r="V11" s="14" t="str">
        <f t="shared" si="13"/>
        <v/>
      </c>
      <c r="W11" s="14" t="str">
        <f t="shared" si="14"/>
        <v/>
      </c>
      <c r="X11" s="14" t="str">
        <f t="shared" si="15"/>
        <v/>
      </c>
      <c r="Y11" s="14" t="str">
        <f t="shared" si="16"/>
        <v/>
      </c>
      <c r="Z11" s="14" t="str">
        <f t="shared" si="17"/>
        <v/>
      </c>
      <c r="AA11" s="14" t="str">
        <f t="shared" si="18"/>
        <v/>
      </c>
      <c r="AB11" s="14" t="str">
        <f t="shared" si="19"/>
        <v/>
      </c>
      <c r="AC11" s="14" t="str">
        <f t="shared" si="20"/>
        <v/>
      </c>
      <c r="AD11" s="14" t="str">
        <f t="shared" si="21"/>
        <v/>
      </c>
      <c r="AE11" s="14" t="str">
        <f t="shared" si="22"/>
        <v/>
      </c>
      <c r="AF11" s="14" t="str">
        <f t="shared" si="23"/>
        <v/>
      </c>
      <c r="AG11" s="14" t="str">
        <f t="shared" si="24"/>
        <v/>
      </c>
      <c r="AH11" s="14" t="str">
        <f t="shared" si="25"/>
        <v/>
      </c>
      <c r="AI11" s="14" t="str">
        <f t="shared" si="26"/>
        <v/>
      </c>
      <c r="AJ11" s="14" t="str">
        <f t="shared" si="27"/>
        <v/>
      </c>
      <c r="AK11" s="14" t="str">
        <f t="shared" si="28"/>
        <v/>
      </c>
      <c r="AL11" s="14" t="str">
        <f t="shared" si="29"/>
        <v/>
      </c>
      <c r="AM11" s="14" t="str">
        <f t="shared" si="30"/>
        <v/>
      </c>
      <c r="AN11" s="14" t="str">
        <f t="shared" si="31"/>
        <v/>
      </c>
      <c r="AO11" s="14" t="str">
        <f t="shared" si="32"/>
        <v/>
      </c>
      <c r="AP11" s="14" t="str">
        <f t="shared" si="33"/>
        <v/>
      </c>
      <c r="AQ11" s="14" t="str">
        <f t="shared" si="34"/>
        <v/>
      </c>
      <c r="AR11" s="14" t="str">
        <f t="shared" si="35"/>
        <v/>
      </c>
      <c r="AS11" s="14" t="str">
        <f t="shared" si="36"/>
        <v/>
      </c>
      <c r="AT11" s="14" t="str">
        <f t="shared" si="37"/>
        <v/>
      </c>
      <c r="AU11" s="14" t="str">
        <f t="shared" si="38"/>
        <v/>
      </c>
      <c r="AV11" s="14" t="str">
        <f t="shared" si="39"/>
        <v/>
      </c>
      <c r="AW11" s="14" t="str">
        <f t="shared" si="40"/>
        <v/>
      </c>
      <c r="AX11" s="14" t="str">
        <f t="shared" si="41"/>
        <v/>
      </c>
      <c r="AY11" s="14" t="str">
        <f t="shared" si="42"/>
        <v/>
      </c>
      <c r="AZ11" s="14" t="str">
        <f t="shared" si="43"/>
        <v/>
      </c>
      <c r="BA11" s="14" t="str">
        <f t="shared" si="44"/>
        <v/>
      </c>
      <c r="BB11" s="14" t="str">
        <f t="shared" si="45"/>
        <v/>
      </c>
      <c r="BC11" s="14" t="str">
        <f t="shared" si="46"/>
        <v/>
      </c>
      <c r="BD11" s="14" t="str">
        <f t="shared" si="47"/>
        <v/>
      </c>
      <c r="BE11" s="14" t="str">
        <f t="shared" si="48"/>
        <v/>
      </c>
      <c r="BF11" s="14" t="str">
        <f t="shared" si="49"/>
        <v/>
      </c>
      <c r="BG11" s="14" t="str">
        <f t="shared" si="50"/>
        <v/>
      </c>
      <c r="BH11" s="14" t="str">
        <f t="shared" si="51"/>
        <v/>
      </c>
      <c r="BI11" s="14" t="str">
        <f t="shared" si="52"/>
        <v/>
      </c>
      <c r="BJ11" s="14" t="str">
        <f t="shared" si="53"/>
        <v/>
      </c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ht="15.75" customHeight="1">
      <c r="A12" s="16" t="s">
        <v>41</v>
      </c>
      <c r="D12" s="22" t="s">
        <v>42</v>
      </c>
      <c r="E12" s="23" t="s">
        <v>32</v>
      </c>
      <c r="F12" s="23" t="s">
        <v>27</v>
      </c>
      <c r="G12" s="12">
        <v>45845.0</v>
      </c>
      <c r="H12" s="12">
        <v>45849.0</v>
      </c>
      <c r="I12" s="24"/>
      <c r="J12" s="14" t="str">
        <f t="shared" si="54"/>
        <v/>
      </c>
      <c r="K12" s="14" t="str">
        <f t="shared" si="55"/>
        <v/>
      </c>
      <c r="L12" s="14" t="str">
        <f t="shared" si="3"/>
        <v/>
      </c>
      <c r="M12" s="14" t="str">
        <f t="shared" si="4"/>
        <v/>
      </c>
      <c r="N12" s="14" t="str">
        <f t="shared" si="5"/>
        <v/>
      </c>
      <c r="O12" s="14" t="str">
        <f t="shared" si="6"/>
        <v/>
      </c>
      <c r="P12" s="14" t="str">
        <f t="shared" si="7"/>
        <v/>
      </c>
      <c r="Q12" s="25" t="str">
        <f t="shared" si="8"/>
        <v>진행 예정</v>
      </c>
      <c r="R12" s="25" t="str">
        <f t="shared" si="9"/>
        <v>진행 예정</v>
      </c>
      <c r="S12" s="25" t="str">
        <f t="shared" si="10"/>
        <v>진행 예정</v>
      </c>
      <c r="T12" s="25" t="str">
        <f t="shared" si="11"/>
        <v>진행 예정</v>
      </c>
      <c r="U12" s="25" t="str">
        <f t="shared" si="12"/>
        <v>진행 예정</v>
      </c>
      <c r="V12" s="14" t="str">
        <f t="shared" si="13"/>
        <v/>
      </c>
      <c r="W12" s="14" t="str">
        <f t="shared" si="14"/>
        <v/>
      </c>
      <c r="X12" s="14" t="str">
        <f t="shared" si="15"/>
        <v/>
      </c>
      <c r="Y12" s="14" t="str">
        <f t="shared" si="16"/>
        <v/>
      </c>
      <c r="Z12" s="14" t="str">
        <f t="shared" si="17"/>
        <v/>
      </c>
      <c r="AA12" s="14" t="str">
        <f t="shared" si="18"/>
        <v/>
      </c>
      <c r="AB12" s="14" t="str">
        <f t="shared" si="19"/>
        <v/>
      </c>
      <c r="AC12" s="14" t="str">
        <f t="shared" si="20"/>
        <v/>
      </c>
      <c r="AD12" s="14" t="str">
        <f t="shared" si="21"/>
        <v/>
      </c>
      <c r="AE12" s="14" t="str">
        <f t="shared" si="22"/>
        <v/>
      </c>
      <c r="AF12" s="14" t="str">
        <f t="shared" si="23"/>
        <v/>
      </c>
      <c r="AG12" s="14" t="str">
        <f t="shared" si="24"/>
        <v/>
      </c>
      <c r="AH12" s="14" t="str">
        <f t="shared" si="25"/>
        <v/>
      </c>
      <c r="AI12" s="14" t="str">
        <f t="shared" si="26"/>
        <v/>
      </c>
      <c r="AJ12" s="14" t="str">
        <f t="shared" si="27"/>
        <v/>
      </c>
      <c r="AK12" s="14" t="str">
        <f t="shared" si="28"/>
        <v/>
      </c>
      <c r="AL12" s="14" t="str">
        <f t="shared" si="29"/>
        <v/>
      </c>
      <c r="AM12" s="14" t="str">
        <f t="shared" si="30"/>
        <v/>
      </c>
      <c r="AN12" s="14" t="str">
        <f t="shared" si="31"/>
        <v/>
      </c>
      <c r="AO12" s="14" t="str">
        <f t="shared" si="32"/>
        <v/>
      </c>
      <c r="AP12" s="14" t="str">
        <f t="shared" si="33"/>
        <v/>
      </c>
      <c r="AQ12" s="14" t="str">
        <f t="shared" si="34"/>
        <v/>
      </c>
      <c r="AR12" s="14" t="str">
        <f t="shared" si="35"/>
        <v/>
      </c>
      <c r="AS12" s="14" t="str">
        <f t="shared" si="36"/>
        <v/>
      </c>
      <c r="AT12" s="14" t="str">
        <f t="shared" si="37"/>
        <v/>
      </c>
      <c r="AU12" s="14" t="str">
        <f t="shared" si="38"/>
        <v/>
      </c>
      <c r="AV12" s="14" t="str">
        <f t="shared" si="39"/>
        <v/>
      </c>
      <c r="AW12" s="14" t="str">
        <f t="shared" si="40"/>
        <v/>
      </c>
      <c r="AX12" s="14" t="str">
        <f t="shared" si="41"/>
        <v/>
      </c>
      <c r="AY12" s="14" t="str">
        <f t="shared" si="42"/>
        <v/>
      </c>
      <c r="AZ12" s="14" t="str">
        <f t="shared" si="43"/>
        <v/>
      </c>
      <c r="BA12" s="14" t="str">
        <f t="shared" si="44"/>
        <v/>
      </c>
      <c r="BB12" s="14" t="str">
        <f t="shared" si="45"/>
        <v/>
      </c>
      <c r="BC12" s="14" t="str">
        <f t="shared" si="46"/>
        <v/>
      </c>
      <c r="BD12" s="14" t="str">
        <f t="shared" si="47"/>
        <v/>
      </c>
      <c r="BE12" s="14" t="str">
        <f t="shared" si="48"/>
        <v/>
      </c>
      <c r="BF12" s="14" t="str">
        <f t="shared" si="49"/>
        <v/>
      </c>
      <c r="BG12" s="14" t="str">
        <f t="shared" si="50"/>
        <v/>
      </c>
      <c r="BH12" s="14" t="str">
        <f t="shared" si="51"/>
        <v/>
      </c>
      <c r="BI12" s="14" t="str">
        <f t="shared" si="52"/>
        <v/>
      </c>
      <c r="BJ12" s="14" t="str">
        <f t="shared" si="53"/>
        <v/>
      </c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ht="15.75" customHeight="1">
      <c r="A13" s="16" t="s">
        <v>43</v>
      </c>
      <c r="D13" s="22" t="s">
        <v>44</v>
      </c>
      <c r="E13" s="23" t="s">
        <v>45</v>
      </c>
      <c r="F13" s="23" t="s">
        <v>19</v>
      </c>
      <c r="G13" s="12">
        <v>45841.0</v>
      </c>
      <c r="H13" s="36">
        <v>45841.0</v>
      </c>
      <c r="I13" s="24"/>
      <c r="J13" s="14" t="str">
        <f t="shared" si="54"/>
        <v/>
      </c>
      <c r="K13" s="14" t="str">
        <f t="shared" si="55"/>
        <v/>
      </c>
      <c r="L13" s="14" t="str">
        <f t="shared" si="3"/>
        <v/>
      </c>
      <c r="M13" s="20" t="str">
        <f t="shared" si="4"/>
        <v>완료</v>
      </c>
      <c r="N13" s="14" t="str">
        <f t="shared" si="5"/>
        <v/>
      </c>
      <c r="O13" s="14" t="str">
        <f t="shared" si="6"/>
        <v/>
      </c>
      <c r="P13" s="14" t="str">
        <f t="shared" si="7"/>
        <v/>
      </c>
      <c r="Q13" s="14" t="str">
        <f t="shared" si="8"/>
        <v/>
      </c>
      <c r="R13" s="14" t="str">
        <f t="shared" si="9"/>
        <v/>
      </c>
      <c r="S13" s="14" t="str">
        <f t="shared" si="10"/>
        <v/>
      </c>
      <c r="T13" s="14" t="str">
        <f t="shared" si="11"/>
        <v/>
      </c>
      <c r="U13" s="14" t="str">
        <f t="shared" si="12"/>
        <v/>
      </c>
      <c r="V13" s="14" t="str">
        <f t="shared" si="13"/>
        <v/>
      </c>
      <c r="W13" s="14" t="str">
        <f t="shared" si="14"/>
        <v/>
      </c>
      <c r="X13" s="14" t="str">
        <f t="shared" si="15"/>
        <v/>
      </c>
      <c r="Y13" s="14" t="str">
        <f t="shared" si="16"/>
        <v/>
      </c>
      <c r="Z13" s="14" t="str">
        <f t="shared" si="17"/>
        <v/>
      </c>
      <c r="AA13" s="14" t="str">
        <f t="shared" si="18"/>
        <v/>
      </c>
      <c r="AB13" s="14" t="str">
        <f t="shared" si="19"/>
        <v/>
      </c>
      <c r="AC13" s="14" t="str">
        <f t="shared" si="20"/>
        <v/>
      </c>
      <c r="AD13" s="14" t="str">
        <f t="shared" si="21"/>
        <v/>
      </c>
      <c r="AE13" s="14" t="str">
        <f t="shared" si="22"/>
        <v/>
      </c>
      <c r="AF13" s="14" t="str">
        <f t="shared" si="23"/>
        <v/>
      </c>
      <c r="AG13" s="14" t="str">
        <f t="shared" si="24"/>
        <v/>
      </c>
      <c r="AH13" s="14" t="str">
        <f t="shared" si="25"/>
        <v/>
      </c>
      <c r="AI13" s="14" t="str">
        <f t="shared" si="26"/>
        <v/>
      </c>
      <c r="AJ13" s="14" t="str">
        <f t="shared" si="27"/>
        <v/>
      </c>
      <c r="AK13" s="14" t="str">
        <f t="shared" si="28"/>
        <v/>
      </c>
      <c r="AL13" s="14" t="str">
        <f t="shared" si="29"/>
        <v/>
      </c>
      <c r="AM13" s="14" t="str">
        <f t="shared" si="30"/>
        <v/>
      </c>
      <c r="AN13" s="14" t="str">
        <f t="shared" si="31"/>
        <v/>
      </c>
      <c r="AO13" s="14" t="str">
        <f t="shared" si="32"/>
        <v/>
      </c>
      <c r="AP13" s="14" t="str">
        <f t="shared" si="33"/>
        <v/>
      </c>
      <c r="AQ13" s="14" t="str">
        <f t="shared" si="34"/>
        <v/>
      </c>
      <c r="AR13" s="14" t="str">
        <f t="shared" si="35"/>
        <v/>
      </c>
      <c r="AS13" s="14" t="str">
        <f t="shared" si="36"/>
        <v/>
      </c>
      <c r="AT13" s="14" t="str">
        <f t="shared" si="37"/>
        <v/>
      </c>
      <c r="AU13" s="14" t="str">
        <f t="shared" si="38"/>
        <v/>
      </c>
      <c r="AV13" s="14" t="str">
        <f t="shared" si="39"/>
        <v/>
      </c>
      <c r="AW13" s="14" t="str">
        <f t="shared" si="40"/>
        <v/>
      </c>
      <c r="AX13" s="14" t="str">
        <f t="shared" si="41"/>
        <v/>
      </c>
      <c r="AY13" s="14" t="str">
        <f t="shared" si="42"/>
        <v/>
      </c>
      <c r="AZ13" s="14" t="str">
        <f t="shared" si="43"/>
        <v/>
      </c>
      <c r="BA13" s="14" t="str">
        <f t="shared" si="44"/>
        <v/>
      </c>
      <c r="BB13" s="14" t="str">
        <f t="shared" si="45"/>
        <v/>
      </c>
      <c r="BC13" s="14" t="str">
        <f t="shared" si="46"/>
        <v/>
      </c>
      <c r="BD13" s="14" t="str">
        <f t="shared" si="47"/>
        <v/>
      </c>
      <c r="BE13" s="14" t="str">
        <f t="shared" si="48"/>
        <v/>
      </c>
      <c r="BF13" s="14" t="str">
        <f t="shared" si="49"/>
        <v/>
      </c>
      <c r="BG13" s="14" t="str">
        <f t="shared" si="50"/>
        <v/>
      </c>
      <c r="BH13" s="14" t="str">
        <f t="shared" si="51"/>
        <v/>
      </c>
      <c r="BI13" s="14" t="str">
        <f t="shared" si="52"/>
        <v/>
      </c>
      <c r="BJ13" s="14" t="str">
        <f t="shared" si="53"/>
        <v/>
      </c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ht="15.75" customHeight="1">
      <c r="A14" s="16" t="s">
        <v>46</v>
      </c>
      <c r="C14" s="37" t="s">
        <v>47</v>
      </c>
      <c r="D14" s="22" t="s">
        <v>48</v>
      </c>
      <c r="E14" s="23" t="s">
        <v>49</v>
      </c>
      <c r="F14" s="23" t="s">
        <v>27</v>
      </c>
      <c r="G14" s="12">
        <v>45845.0</v>
      </c>
      <c r="H14" s="12">
        <v>45849.0</v>
      </c>
      <c r="I14" s="24"/>
      <c r="J14" s="14" t="str">
        <f t="shared" si="54"/>
        <v/>
      </c>
      <c r="K14" s="14" t="str">
        <f t="shared" si="55"/>
        <v/>
      </c>
      <c r="L14" s="14" t="str">
        <f t="shared" si="3"/>
        <v/>
      </c>
      <c r="M14" s="14" t="str">
        <f t="shared" si="4"/>
        <v/>
      </c>
      <c r="N14" s="14" t="str">
        <f t="shared" si="5"/>
        <v/>
      </c>
      <c r="O14" s="14" t="str">
        <f t="shared" si="6"/>
        <v/>
      </c>
      <c r="P14" s="14" t="str">
        <f t="shared" si="7"/>
        <v/>
      </c>
      <c r="Q14" s="25" t="str">
        <f t="shared" si="8"/>
        <v>진행 예정</v>
      </c>
      <c r="R14" s="25" t="str">
        <f t="shared" si="9"/>
        <v>진행 예정</v>
      </c>
      <c r="S14" s="25" t="str">
        <f t="shared" si="10"/>
        <v>진행 예정</v>
      </c>
      <c r="T14" s="25" t="str">
        <f t="shared" si="11"/>
        <v>진행 예정</v>
      </c>
      <c r="U14" s="25" t="str">
        <f t="shared" si="12"/>
        <v>진행 예정</v>
      </c>
      <c r="V14" s="14" t="str">
        <f t="shared" si="13"/>
        <v/>
      </c>
      <c r="W14" s="14" t="str">
        <f t="shared" si="14"/>
        <v/>
      </c>
      <c r="X14" s="14" t="str">
        <f t="shared" si="15"/>
        <v/>
      </c>
      <c r="Y14" s="14" t="str">
        <f t="shared" si="16"/>
        <v/>
      </c>
      <c r="Z14" s="14" t="str">
        <f t="shared" si="17"/>
        <v/>
      </c>
      <c r="AA14" s="14" t="str">
        <f t="shared" si="18"/>
        <v/>
      </c>
      <c r="AB14" s="14" t="str">
        <f t="shared" si="19"/>
        <v/>
      </c>
      <c r="AC14" s="14" t="str">
        <f t="shared" si="20"/>
        <v/>
      </c>
      <c r="AD14" s="14" t="str">
        <f t="shared" si="21"/>
        <v/>
      </c>
      <c r="AE14" s="14" t="str">
        <f t="shared" si="22"/>
        <v/>
      </c>
      <c r="AF14" s="14" t="str">
        <f t="shared" si="23"/>
        <v/>
      </c>
      <c r="AG14" s="14" t="str">
        <f t="shared" si="24"/>
        <v/>
      </c>
      <c r="AH14" s="14" t="str">
        <f t="shared" si="25"/>
        <v/>
      </c>
      <c r="AI14" s="14" t="str">
        <f t="shared" si="26"/>
        <v/>
      </c>
      <c r="AJ14" s="14" t="str">
        <f t="shared" si="27"/>
        <v/>
      </c>
      <c r="AK14" s="14" t="str">
        <f t="shared" si="28"/>
        <v/>
      </c>
      <c r="AL14" s="14" t="str">
        <f t="shared" si="29"/>
        <v/>
      </c>
      <c r="AM14" s="14" t="str">
        <f t="shared" si="30"/>
        <v/>
      </c>
      <c r="AN14" s="14" t="str">
        <f t="shared" si="31"/>
        <v/>
      </c>
      <c r="AO14" s="14" t="str">
        <f t="shared" si="32"/>
        <v/>
      </c>
      <c r="AP14" s="14" t="str">
        <f t="shared" si="33"/>
        <v/>
      </c>
      <c r="AQ14" s="14" t="str">
        <f t="shared" si="34"/>
        <v/>
      </c>
      <c r="AR14" s="14" t="str">
        <f t="shared" si="35"/>
        <v/>
      </c>
      <c r="AS14" s="14" t="str">
        <f t="shared" si="36"/>
        <v/>
      </c>
      <c r="AT14" s="14" t="str">
        <f t="shared" si="37"/>
        <v/>
      </c>
      <c r="AU14" s="14" t="str">
        <f t="shared" si="38"/>
        <v/>
      </c>
      <c r="AV14" s="14" t="str">
        <f t="shared" si="39"/>
        <v/>
      </c>
      <c r="AW14" s="14" t="str">
        <f t="shared" si="40"/>
        <v/>
      </c>
      <c r="AX14" s="14" t="str">
        <f t="shared" si="41"/>
        <v/>
      </c>
      <c r="AY14" s="14" t="str">
        <f t="shared" si="42"/>
        <v/>
      </c>
      <c r="AZ14" s="14" t="str">
        <f t="shared" si="43"/>
        <v/>
      </c>
      <c r="BA14" s="14" t="str">
        <f t="shared" si="44"/>
        <v/>
      </c>
      <c r="BB14" s="14" t="str">
        <f t="shared" si="45"/>
        <v/>
      </c>
      <c r="BC14" s="14" t="str">
        <f t="shared" si="46"/>
        <v/>
      </c>
      <c r="BD14" s="14" t="str">
        <f t="shared" si="47"/>
        <v/>
      </c>
      <c r="BE14" s="14" t="str">
        <f t="shared" si="48"/>
        <v/>
      </c>
      <c r="BF14" s="14" t="str">
        <f t="shared" si="49"/>
        <v/>
      </c>
      <c r="BG14" s="14" t="str">
        <f t="shared" si="50"/>
        <v/>
      </c>
      <c r="BH14" s="14" t="str">
        <f t="shared" si="51"/>
        <v/>
      </c>
      <c r="BI14" s="14" t="str">
        <f t="shared" si="52"/>
        <v/>
      </c>
      <c r="BJ14" s="14" t="str">
        <f t="shared" si="53"/>
        <v/>
      </c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ht="15.75" customHeight="1">
      <c r="A15" s="16" t="s">
        <v>50</v>
      </c>
      <c r="D15" s="22" t="s">
        <v>51</v>
      </c>
      <c r="E15" s="23" t="s">
        <v>52</v>
      </c>
      <c r="F15" s="23" t="s">
        <v>27</v>
      </c>
      <c r="G15" s="12">
        <v>45845.0</v>
      </c>
      <c r="H15" s="12">
        <v>45849.0</v>
      </c>
      <c r="I15" s="24"/>
      <c r="J15" s="14" t="str">
        <f t="shared" si="54"/>
        <v/>
      </c>
      <c r="K15" s="14" t="str">
        <f t="shared" si="55"/>
        <v/>
      </c>
      <c r="L15" s="14" t="str">
        <f t="shared" si="3"/>
        <v/>
      </c>
      <c r="M15" s="14" t="str">
        <f t="shared" si="4"/>
        <v/>
      </c>
      <c r="N15" s="14" t="str">
        <f t="shared" si="5"/>
        <v/>
      </c>
      <c r="O15" s="14" t="str">
        <f t="shared" si="6"/>
        <v/>
      </c>
      <c r="P15" s="14" t="str">
        <f t="shared" si="7"/>
        <v/>
      </c>
      <c r="Q15" s="25" t="str">
        <f t="shared" si="8"/>
        <v>진행 예정</v>
      </c>
      <c r="R15" s="25" t="str">
        <f t="shared" si="9"/>
        <v>진행 예정</v>
      </c>
      <c r="S15" s="25" t="str">
        <f t="shared" si="10"/>
        <v>진행 예정</v>
      </c>
      <c r="T15" s="25" t="str">
        <f t="shared" si="11"/>
        <v>진행 예정</v>
      </c>
      <c r="U15" s="25" t="str">
        <f t="shared" si="12"/>
        <v>진행 예정</v>
      </c>
      <c r="V15" s="14" t="str">
        <f t="shared" si="13"/>
        <v/>
      </c>
      <c r="W15" s="14" t="str">
        <f t="shared" si="14"/>
        <v/>
      </c>
      <c r="X15" s="14" t="str">
        <f t="shared" si="15"/>
        <v/>
      </c>
      <c r="Y15" s="14" t="str">
        <f t="shared" si="16"/>
        <v/>
      </c>
      <c r="Z15" s="14" t="str">
        <f t="shared" si="17"/>
        <v/>
      </c>
      <c r="AA15" s="14" t="str">
        <f t="shared" si="18"/>
        <v/>
      </c>
      <c r="AB15" s="14" t="str">
        <f t="shared" si="19"/>
        <v/>
      </c>
      <c r="AC15" s="14" t="str">
        <f t="shared" si="20"/>
        <v/>
      </c>
      <c r="AD15" s="14" t="str">
        <f t="shared" si="21"/>
        <v/>
      </c>
      <c r="AE15" s="14" t="str">
        <f t="shared" si="22"/>
        <v/>
      </c>
      <c r="AF15" s="14" t="str">
        <f t="shared" si="23"/>
        <v/>
      </c>
      <c r="AG15" s="14" t="str">
        <f t="shared" si="24"/>
        <v/>
      </c>
      <c r="AH15" s="14" t="str">
        <f t="shared" si="25"/>
        <v/>
      </c>
      <c r="AI15" s="14" t="str">
        <f t="shared" si="26"/>
        <v/>
      </c>
      <c r="AJ15" s="14" t="str">
        <f t="shared" si="27"/>
        <v/>
      </c>
      <c r="AK15" s="14" t="str">
        <f t="shared" si="28"/>
        <v/>
      </c>
      <c r="AL15" s="14" t="str">
        <f t="shared" si="29"/>
        <v/>
      </c>
      <c r="AM15" s="14" t="str">
        <f t="shared" si="30"/>
        <v/>
      </c>
      <c r="AN15" s="14" t="str">
        <f t="shared" si="31"/>
        <v/>
      </c>
      <c r="AO15" s="14" t="str">
        <f t="shared" si="32"/>
        <v/>
      </c>
      <c r="AP15" s="14" t="str">
        <f t="shared" si="33"/>
        <v/>
      </c>
      <c r="AQ15" s="14" t="str">
        <f t="shared" si="34"/>
        <v/>
      </c>
      <c r="AR15" s="14" t="str">
        <f t="shared" si="35"/>
        <v/>
      </c>
      <c r="AS15" s="14" t="str">
        <f t="shared" si="36"/>
        <v/>
      </c>
      <c r="AT15" s="14" t="str">
        <f t="shared" si="37"/>
        <v/>
      </c>
      <c r="AU15" s="14" t="str">
        <f t="shared" si="38"/>
        <v/>
      </c>
      <c r="AV15" s="14" t="str">
        <f t="shared" si="39"/>
        <v/>
      </c>
      <c r="AW15" s="14" t="str">
        <f t="shared" si="40"/>
        <v/>
      </c>
      <c r="AX15" s="14" t="str">
        <f t="shared" si="41"/>
        <v/>
      </c>
      <c r="AY15" s="14" t="str">
        <f t="shared" si="42"/>
        <v/>
      </c>
      <c r="AZ15" s="14" t="str">
        <f t="shared" si="43"/>
        <v/>
      </c>
      <c r="BA15" s="14" t="str">
        <f t="shared" si="44"/>
        <v/>
      </c>
      <c r="BB15" s="14" t="str">
        <f t="shared" si="45"/>
        <v/>
      </c>
      <c r="BC15" s="14" t="str">
        <f t="shared" si="46"/>
        <v/>
      </c>
      <c r="BD15" s="14" t="str">
        <f t="shared" si="47"/>
        <v/>
      </c>
      <c r="BE15" s="14" t="str">
        <f t="shared" si="48"/>
        <v/>
      </c>
      <c r="BF15" s="14" t="str">
        <f t="shared" si="49"/>
        <v/>
      </c>
      <c r="BG15" s="14" t="str">
        <f t="shared" si="50"/>
        <v/>
      </c>
      <c r="BH15" s="14" t="str">
        <f t="shared" si="51"/>
        <v/>
      </c>
      <c r="BI15" s="14" t="str">
        <f t="shared" si="52"/>
        <v/>
      </c>
      <c r="BJ15" s="14" t="str">
        <f t="shared" si="53"/>
        <v/>
      </c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ht="15.75" customHeight="1">
      <c r="A16" s="26" t="s">
        <v>53</v>
      </c>
      <c r="B16" s="27"/>
      <c r="C16" s="27"/>
      <c r="D16" s="28" t="s">
        <v>54</v>
      </c>
      <c r="E16" s="29" t="s">
        <v>49</v>
      </c>
      <c r="F16" s="29" t="s">
        <v>27</v>
      </c>
      <c r="G16" s="12">
        <v>45845.0</v>
      </c>
      <c r="H16" s="12">
        <v>45849.0</v>
      </c>
      <c r="I16" s="30"/>
      <c r="J16" s="14" t="str">
        <f t="shared" si="54"/>
        <v/>
      </c>
      <c r="K16" s="14" t="str">
        <f t="shared" si="55"/>
        <v/>
      </c>
      <c r="L16" s="14" t="str">
        <f t="shared" si="3"/>
        <v/>
      </c>
      <c r="M16" s="14" t="str">
        <f t="shared" si="4"/>
        <v/>
      </c>
      <c r="N16" s="14" t="str">
        <f t="shared" si="5"/>
        <v/>
      </c>
      <c r="O16" s="14" t="str">
        <f t="shared" si="6"/>
        <v/>
      </c>
      <c r="P16" s="14" t="str">
        <f t="shared" si="7"/>
        <v/>
      </c>
      <c r="Q16" s="25" t="str">
        <f t="shared" si="8"/>
        <v>진행 예정</v>
      </c>
      <c r="R16" s="25" t="str">
        <f t="shared" si="9"/>
        <v>진행 예정</v>
      </c>
      <c r="S16" s="25" t="str">
        <f t="shared" si="10"/>
        <v>진행 예정</v>
      </c>
      <c r="T16" s="25" t="str">
        <f t="shared" si="11"/>
        <v>진행 예정</v>
      </c>
      <c r="U16" s="25" t="str">
        <f t="shared" si="12"/>
        <v>진행 예정</v>
      </c>
      <c r="V16" s="14" t="str">
        <f t="shared" si="13"/>
        <v/>
      </c>
      <c r="W16" s="14" t="str">
        <f t="shared" si="14"/>
        <v/>
      </c>
      <c r="X16" s="14" t="str">
        <f t="shared" si="15"/>
        <v/>
      </c>
      <c r="Y16" s="14" t="str">
        <f t="shared" si="16"/>
        <v/>
      </c>
      <c r="Z16" s="14" t="str">
        <f t="shared" si="17"/>
        <v/>
      </c>
      <c r="AA16" s="14" t="str">
        <f t="shared" si="18"/>
        <v/>
      </c>
      <c r="AB16" s="14" t="str">
        <f t="shared" si="19"/>
        <v/>
      </c>
      <c r="AC16" s="14" t="str">
        <f t="shared" si="20"/>
        <v/>
      </c>
      <c r="AD16" s="14" t="str">
        <f t="shared" si="21"/>
        <v/>
      </c>
      <c r="AE16" s="14" t="str">
        <f t="shared" si="22"/>
        <v/>
      </c>
      <c r="AF16" s="14" t="str">
        <f t="shared" si="23"/>
        <v/>
      </c>
      <c r="AG16" s="14" t="str">
        <f t="shared" si="24"/>
        <v/>
      </c>
      <c r="AH16" s="14" t="str">
        <f t="shared" si="25"/>
        <v/>
      </c>
      <c r="AI16" s="14" t="str">
        <f t="shared" si="26"/>
        <v/>
      </c>
      <c r="AJ16" s="14" t="str">
        <f t="shared" si="27"/>
        <v/>
      </c>
      <c r="AK16" s="14" t="str">
        <f t="shared" si="28"/>
        <v/>
      </c>
      <c r="AL16" s="14" t="str">
        <f t="shared" si="29"/>
        <v/>
      </c>
      <c r="AM16" s="14" t="str">
        <f t="shared" si="30"/>
        <v/>
      </c>
      <c r="AN16" s="14" t="str">
        <f t="shared" si="31"/>
        <v/>
      </c>
      <c r="AO16" s="14" t="str">
        <f t="shared" si="32"/>
        <v/>
      </c>
      <c r="AP16" s="14" t="str">
        <f t="shared" si="33"/>
        <v/>
      </c>
      <c r="AQ16" s="14" t="str">
        <f t="shared" si="34"/>
        <v/>
      </c>
      <c r="AR16" s="14" t="str">
        <f t="shared" si="35"/>
        <v/>
      </c>
      <c r="AS16" s="14" t="str">
        <f t="shared" si="36"/>
        <v/>
      </c>
      <c r="AT16" s="14" t="str">
        <f t="shared" si="37"/>
        <v/>
      </c>
      <c r="AU16" s="14" t="str">
        <f t="shared" si="38"/>
        <v/>
      </c>
      <c r="AV16" s="14" t="str">
        <f t="shared" si="39"/>
        <v/>
      </c>
      <c r="AW16" s="14" t="str">
        <f t="shared" si="40"/>
        <v/>
      </c>
      <c r="AX16" s="14" t="str">
        <f t="shared" si="41"/>
        <v/>
      </c>
      <c r="AY16" s="14" t="str">
        <f t="shared" si="42"/>
        <v/>
      </c>
      <c r="AZ16" s="14" t="str">
        <f t="shared" si="43"/>
        <v/>
      </c>
      <c r="BA16" s="14" t="str">
        <f t="shared" si="44"/>
        <v/>
      </c>
      <c r="BB16" s="14" t="str">
        <f t="shared" si="45"/>
        <v/>
      </c>
      <c r="BC16" s="14" t="str">
        <f t="shared" si="46"/>
        <v/>
      </c>
      <c r="BD16" s="14" t="str">
        <f t="shared" si="47"/>
        <v/>
      </c>
      <c r="BE16" s="14" t="str">
        <f t="shared" si="48"/>
        <v/>
      </c>
      <c r="BF16" s="14" t="str">
        <f t="shared" si="49"/>
        <v/>
      </c>
      <c r="BG16" s="14" t="str">
        <f t="shared" si="50"/>
        <v/>
      </c>
      <c r="BH16" s="14" t="str">
        <f t="shared" si="51"/>
        <v/>
      </c>
      <c r="BI16" s="14" t="str">
        <f t="shared" si="52"/>
        <v/>
      </c>
      <c r="BJ16" s="14" t="str">
        <f t="shared" si="53"/>
        <v/>
      </c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ht="15.75" customHeight="1">
      <c r="A17" s="8" t="s">
        <v>55</v>
      </c>
      <c r="B17" s="31" t="s">
        <v>56</v>
      </c>
      <c r="C17" s="38" t="s">
        <v>57</v>
      </c>
      <c r="D17" s="39" t="s">
        <v>58</v>
      </c>
      <c r="E17" s="34" t="s">
        <v>59</v>
      </c>
      <c r="F17" s="34" t="s">
        <v>27</v>
      </c>
      <c r="G17" s="12">
        <v>45859.0</v>
      </c>
      <c r="H17" s="12">
        <v>45863.0</v>
      </c>
      <c r="I17" s="35"/>
      <c r="J17" s="14" t="str">
        <f t="shared" si="54"/>
        <v/>
      </c>
      <c r="K17" s="14" t="str">
        <f t="shared" si="55"/>
        <v/>
      </c>
      <c r="L17" s="14" t="str">
        <f t="shared" si="3"/>
        <v/>
      </c>
      <c r="M17" s="14" t="str">
        <f t="shared" si="4"/>
        <v/>
      </c>
      <c r="N17" s="14" t="str">
        <f t="shared" si="5"/>
        <v/>
      </c>
      <c r="O17" s="14" t="str">
        <f t="shared" si="6"/>
        <v/>
      </c>
      <c r="P17" s="14" t="str">
        <f t="shared" si="7"/>
        <v/>
      </c>
      <c r="Q17" s="14" t="str">
        <f t="shared" si="8"/>
        <v/>
      </c>
      <c r="R17" s="14" t="str">
        <f t="shared" si="9"/>
        <v/>
      </c>
      <c r="S17" s="14" t="str">
        <f t="shared" si="10"/>
        <v/>
      </c>
      <c r="T17" s="14" t="str">
        <f t="shared" si="11"/>
        <v/>
      </c>
      <c r="U17" s="14" t="str">
        <f t="shared" si="12"/>
        <v/>
      </c>
      <c r="V17" s="14" t="str">
        <f t="shared" si="13"/>
        <v/>
      </c>
      <c r="W17" s="14" t="str">
        <f t="shared" si="14"/>
        <v/>
      </c>
      <c r="X17" s="14" t="str">
        <f t="shared" si="15"/>
        <v/>
      </c>
      <c r="Y17" s="14" t="str">
        <f t="shared" si="16"/>
        <v/>
      </c>
      <c r="Z17" s="14" t="str">
        <f t="shared" si="17"/>
        <v/>
      </c>
      <c r="AA17" s="14" t="str">
        <f t="shared" si="18"/>
        <v/>
      </c>
      <c r="AB17" s="14" t="str">
        <f t="shared" si="19"/>
        <v/>
      </c>
      <c r="AC17" s="14" t="str">
        <f t="shared" si="20"/>
        <v/>
      </c>
      <c r="AD17" s="14" t="str">
        <f t="shared" si="21"/>
        <v/>
      </c>
      <c r="AE17" s="25" t="str">
        <f t="shared" si="22"/>
        <v>진행 예정</v>
      </c>
      <c r="AF17" s="25" t="str">
        <f t="shared" si="23"/>
        <v>진행 예정</v>
      </c>
      <c r="AG17" s="25" t="str">
        <f t="shared" si="24"/>
        <v>진행 예정</v>
      </c>
      <c r="AH17" s="25" t="str">
        <f t="shared" si="25"/>
        <v>진행 예정</v>
      </c>
      <c r="AI17" s="25" t="str">
        <f t="shared" si="26"/>
        <v>진행 예정</v>
      </c>
      <c r="AJ17" s="14" t="str">
        <f t="shared" si="27"/>
        <v/>
      </c>
      <c r="AK17" s="14" t="str">
        <f t="shared" si="28"/>
        <v/>
      </c>
      <c r="AL17" s="14" t="str">
        <f t="shared" si="29"/>
        <v/>
      </c>
      <c r="AM17" s="14" t="str">
        <f t="shared" si="30"/>
        <v/>
      </c>
      <c r="AN17" s="14" t="str">
        <f t="shared" si="31"/>
        <v/>
      </c>
      <c r="AO17" s="14" t="str">
        <f t="shared" si="32"/>
        <v/>
      </c>
      <c r="AP17" s="14" t="str">
        <f t="shared" si="33"/>
        <v/>
      </c>
      <c r="AQ17" s="14" t="str">
        <f t="shared" si="34"/>
        <v/>
      </c>
      <c r="AR17" s="14" t="str">
        <f t="shared" si="35"/>
        <v/>
      </c>
      <c r="AS17" s="14" t="str">
        <f t="shared" si="36"/>
        <v/>
      </c>
      <c r="AT17" s="14" t="str">
        <f t="shared" si="37"/>
        <v/>
      </c>
      <c r="AU17" s="14" t="str">
        <f t="shared" si="38"/>
        <v/>
      </c>
      <c r="AV17" s="14" t="str">
        <f t="shared" si="39"/>
        <v/>
      </c>
      <c r="AW17" s="14" t="str">
        <f t="shared" si="40"/>
        <v/>
      </c>
      <c r="AX17" s="14" t="str">
        <f t="shared" si="41"/>
        <v/>
      </c>
      <c r="AY17" s="14" t="str">
        <f t="shared" si="42"/>
        <v/>
      </c>
      <c r="AZ17" s="14" t="str">
        <f t="shared" si="43"/>
        <v/>
      </c>
      <c r="BA17" s="14" t="str">
        <f t="shared" si="44"/>
        <v/>
      </c>
      <c r="BB17" s="14" t="str">
        <f t="shared" si="45"/>
        <v/>
      </c>
      <c r="BC17" s="14" t="str">
        <f t="shared" si="46"/>
        <v/>
      </c>
      <c r="BD17" s="14" t="str">
        <f t="shared" si="47"/>
        <v/>
      </c>
      <c r="BE17" s="14" t="str">
        <f t="shared" si="48"/>
        <v/>
      </c>
      <c r="BF17" s="14" t="str">
        <f t="shared" si="49"/>
        <v/>
      </c>
      <c r="BG17" s="14" t="str">
        <f t="shared" si="50"/>
        <v/>
      </c>
      <c r="BH17" s="14" t="str">
        <f t="shared" si="51"/>
        <v/>
      </c>
      <c r="BI17" s="14" t="str">
        <f t="shared" si="52"/>
        <v/>
      </c>
      <c r="BJ17" s="14" t="str">
        <f t="shared" si="53"/>
        <v/>
      </c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ht="15.75" customHeight="1">
      <c r="A18" s="16" t="s">
        <v>60</v>
      </c>
      <c r="C18" s="40"/>
      <c r="D18" s="23" t="s">
        <v>61</v>
      </c>
      <c r="E18" s="23" t="s">
        <v>59</v>
      </c>
      <c r="F18" s="23" t="s">
        <v>27</v>
      </c>
      <c r="G18" s="12">
        <v>45859.0</v>
      </c>
      <c r="H18" s="12">
        <v>45863.0</v>
      </c>
      <c r="I18" s="24"/>
      <c r="J18" s="14" t="str">
        <f t="shared" si="54"/>
        <v/>
      </c>
      <c r="K18" s="14" t="str">
        <f t="shared" si="55"/>
        <v/>
      </c>
      <c r="L18" s="14" t="str">
        <f t="shared" si="3"/>
        <v/>
      </c>
      <c r="M18" s="14" t="str">
        <f t="shared" si="4"/>
        <v/>
      </c>
      <c r="N18" s="14" t="str">
        <f t="shared" si="5"/>
        <v/>
      </c>
      <c r="O18" s="14" t="str">
        <f t="shared" si="6"/>
        <v/>
      </c>
      <c r="P18" s="14" t="str">
        <f t="shared" si="7"/>
        <v/>
      </c>
      <c r="Q18" s="14" t="str">
        <f t="shared" si="8"/>
        <v/>
      </c>
      <c r="R18" s="14" t="str">
        <f t="shared" si="9"/>
        <v/>
      </c>
      <c r="S18" s="14" t="str">
        <f t="shared" si="10"/>
        <v/>
      </c>
      <c r="T18" s="14" t="str">
        <f t="shared" si="11"/>
        <v/>
      </c>
      <c r="U18" s="14" t="str">
        <f t="shared" si="12"/>
        <v/>
      </c>
      <c r="V18" s="14" t="str">
        <f t="shared" si="13"/>
        <v/>
      </c>
      <c r="W18" s="14" t="str">
        <f t="shared" si="14"/>
        <v/>
      </c>
      <c r="X18" s="14" t="str">
        <f t="shared" si="15"/>
        <v/>
      </c>
      <c r="Y18" s="14" t="str">
        <f t="shared" si="16"/>
        <v/>
      </c>
      <c r="Z18" s="14" t="str">
        <f t="shared" si="17"/>
        <v/>
      </c>
      <c r="AA18" s="14" t="str">
        <f t="shared" si="18"/>
        <v/>
      </c>
      <c r="AB18" s="14" t="str">
        <f t="shared" si="19"/>
        <v/>
      </c>
      <c r="AC18" s="14" t="str">
        <f t="shared" si="20"/>
        <v/>
      </c>
      <c r="AD18" s="14" t="str">
        <f t="shared" si="21"/>
        <v/>
      </c>
      <c r="AE18" s="25" t="str">
        <f t="shared" si="22"/>
        <v>진행 예정</v>
      </c>
      <c r="AF18" s="25" t="str">
        <f t="shared" si="23"/>
        <v>진행 예정</v>
      </c>
      <c r="AG18" s="25" t="str">
        <f t="shared" si="24"/>
        <v>진행 예정</v>
      </c>
      <c r="AH18" s="25" t="str">
        <f t="shared" si="25"/>
        <v>진행 예정</v>
      </c>
      <c r="AI18" s="25" t="str">
        <f t="shared" si="26"/>
        <v>진행 예정</v>
      </c>
      <c r="AJ18" s="14" t="str">
        <f t="shared" si="27"/>
        <v/>
      </c>
      <c r="AK18" s="14" t="str">
        <f t="shared" si="28"/>
        <v/>
      </c>
      <c r="AL18" s="14" t="str">
        <f t="shared" si="29"/>
        <v/>
      </c>
      <c r="AM18" s="14" t="str">
        <f t="shared" si="30"/>
        <v/>
      </c>
      <c r="AN18" s="14" t="str">
        <f t="shared" si="31"/>
        <v/>
      </c>
      <c r="AO18" s="14" t="str">
        <f t="shared" si="32"/>
        <v/>
      </c>
      <c r="AP18" s="14" t="str">
        <f t="shared" si="33"/>
        <v/>
      </c>
      <c r="AQ18" s="14" t="str">
        <f t="shared" si="34"/>
        <v/>
      </c>
      <c r="AR18" s="14" t="str">
        <f t="shared" si="35"/>
        <v/>
      </c>
      <c r="AS18" s="14" t="str">
        <f t="shared" si="36"/>
        <v/>
      </c>
      <c r="AT18" s="14" t="str">
        <f t="shared" si="37"/>
        <v/>
      </c>
      <c r="AU18" s="14" t="str">
        <f t="shared" si="38"/>
        <v/>
      </c>
      <c r="AV18" s="14" t="str">
        <f t="shared" si="39"/>
        <v/>
      </c>
      <c r="AW18" s="14" t="str">
        <f t="shared" si="40"/>
        <v/>
      </c>
      <c r="AX18" s="14" t="str">
        <f t="shared" si="41"/>
        <v/>
      </c>
      <c r="AY18" s="14" t="str">
        <f t="shared" si="42"/>
        <v/>
      </c>
      <c r="AZ18" s="14" t="str">
        <f t="shared" si="43"/>
        <v/>
      </c>
      <c r="BA18" s="14" t="str">
        <f t="shared" si="44"/>
        <v/>
      </c>
      <c r="BB18" s="14" t="str">
        <f t="shared" si="45"/>
        <v/>
      </c>
      <c r="BC18" s="14" t="str">
        <f t="shared" si="46"/>
        <v/>
      </c>
      <c r="BD18" s="14" t="str">
        <f t="shared" si="47"/>
        <v/>
      </c>
      <c r="BE18" s="14" t="str">
        <f t="shared" si="48"/>
        <v/>
      </c>
      <c r="BF18" s="14" t="str">
        <f t="shared" si="49"/>
        <v/>
      </c>
      <c r="BG18" s="14" t="str">
        <f t="shared" si="50"/>
        <v/>
      </c>
      <c r="BH18" s="14" t="str">
        <f t="shared" si="51"/>
        <v/>
      </c>
      <c r="BI18" s="14" t="str">
        <f t="shared" si="52"/>
        <v/>
      </c>
      <c r="BJ18" s="14" t="str">
        <f t="shared" si="53"/>
        <v/>
      </c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ht="15.75" customHeight="1">
      <c r="A19" s="16" t="s">
        <v>62</v>
      </c>
      <c r="C19" s="40"/>
      <c r="D19" s="41" t="s">
        <v>63</v>
      </c>
      <c r="E19" s="23" t="s">
        <v>59</v>
      </c>
      <c r="F19" s="23" t="s">
        <v>27</v>
      </c>
      <c r="G19" s="12">
        <v>45859.0</v>
      </c>
      <c r="H19" s="12">
        <v>45863.0</v>
      </c>
      <c r="I19" s="24"/>
      <c r="J19" s="14" t="str">
        <f t="shared" si="54"/>
        <v/>
      </c>
      <c r="K19" s="14" t="str">
        <f t="shared" si="55"/>
        <v/>
      </c>
      <c r="L19" s="14" t="str">
        <f t="shared" si="3"/>
        <v/>
      </c>
      <c r="M19" s="14" t="str">
        <f t="shared" si="4"/>
        <v/>
      </c>
      <c r="N19" s="14" t="str">
        <f t="shared" si="5"/>
        <v/>
      </c>
      <c r="O19" s="14" t="str">
        <f t="shared" si="6"/>
        <v/>
      </c>
      <c r="P19" s="14" t="str">
        <f t="shared" si="7"/>
        <v/>
      </c>
      <c r="Q19" s="14" t="str">
        <f t="shared" si="8"/>
        <v/>
      </c>
      <c r="R19" s="14" t="str">
        <f t="shared" si="9"/>
        <v/>
      </c>
      <c r="S19" s="14" t="str">
        <f t="shared" si="10"/>
        <v/>
      </c>
      <c r="T19" s="14" t="str">
        <f t="shared" si="11"/>
        <v/>
      </c>
      <c r="U19" s="14" t="str">
        <f t="shared" si="12"/>
        <v/>
      </c>
      <c r="V19" s="14" t="str">
        <f t="shared" si="13"/>
        <v/>
      </c>
      <c r="W19" s="14" t="str">
        <f t="shared" si="14"/>
        <v/>
      </c>
      <c r="X19" s="14" t="str">
        <f t="shared" si="15"/>
        <v/>
      </c>
      <c r="Y19" s="14" t="str">
        <f t="shared" si="16"/>
        <v/>
      </c>
      <c r="Z19" s="14" t="str">
        <f t="shared" si="17"/>
        <v/>
      </c>
      <c r="AA19" s="14" t="str">
        <f t="shared" si="18"/>
        <v/>
      </c>
      <c r="AB19" s="14" t="str">
        <f t="shared" si="19"/>
        <v/>
      </c>
      <c r="AC19" s="14" t="str">
        <f t="shared" si="20"/>
        <v/>
      </c>
      <c r="AD19" s="14" t="str">
        <f t="shared" si="21"/>
        <v/>
      </c>
      <c r="AE19" s="25" t="str">
        <f t="shared" si="22"/>
        <v>진행 예정</v>
      </c>
      <c r="AF19" s="25" t="str">
        <f t="shared" si="23"/>
        <v>진행 예정</v>
      </c>
      <c r="AG19" s="25" t="str">
        <f t="shared" si="24"/>
        <v>진행 예정</v>
      </c>
      <c r="AH19" s="25" t="str">
        <f t="shared" si="25"/>
        <v>진행 예정</v>
      </c>
      <c r="AI19" s="25" t="str">
        <f t="shared" si="26"/>
        <v>진행 예정</v>
      </c>
      <c r="AJ19" s="14" t="str">
        <f t="shared" si="27"/>
        <v/>
      </c>
      <c r="AK19" s="14" t="str">
        <f t="shared" si="28"/>
        <v/>
      </c>
      <c r="AL19" s="14" t="str">
        <f t="shared" si="29"/>
        <v/>
      </c>
      <c r="AM19" s="14" t="str">
        <f t="shared" si="30"/>
        <v/>
      </c>
      <c r="AN19" s="14" t="str">
        <f t="shared" si="31"/>
        <v/>
      </c>
      <c r="AO19" s="14" t="str">
        <f t="shared" si="32"/>
        <v/>
      </c>
      <c r="AP19" s="14" t="str">
        <f t="shared" si="33"/>
        <v/>
      </c>
      <c r="AQ19" s="14" t="str">
        <f t="shared" si="34"/>
        <v/>
      </c>
      <c r="AR19" s="14" t="str">
        <f t="shared" si="35"/>
        <v/>
      </c>
      <c r="AS19" s="14" t="str">
        <f t="shared" si="36"/>
        <v/>
      </c>
      <c r="AT19" s="14" t="str">
        <f t="shared" si="37"/>
        <v/>
      </c>
      <c r="AU19" s="14" t="str">
        <f t="shared" si="38"/>
        <v/>
      </c>
      <c r="AV19" s="14" t="str">
        <f t="shared" si="39"/>
        <v/>
      </c>
      <c r="AW19" s="14" t="str">
        <f t="shared" si="40"/>
        <v/>
      </c>
      <c r="AX19" s="14" t="str">
        <f t="shared" si="41"/>
        <v/>
      </c>
      <c r="AY19" s="14" t="str">
        <f t="shared" si="42"/>
        <v/>
      </c>
      <c r="AZ19" s="14" t="str">
        <f t="shared" si="43"/>
        <v/>
      </c>
      <c r="BA19" s="14" t="str">
        <f t="shared" si="44"/>
        <v/>
      </c>
      <c r="BB19" s="14" t="str">
        <f t="shared" si="45"/>
        <v/>
      </c>
      <c r="BC19" s="14" t="str">
        <f t="shared" si="46"/>
        <v/>
      </c>
      <c r="BD19" s="14" t="str">
        <f t="shared" si="47"/>
        <v/>
      </c>
      <c r="BE19" s="14" t="str">
        <f t="shared" si="48"/>
        <v/>
      </c>
      <c r="BF19" s="14" t="str">
        <f t="shared" si="49"/>
        <v/>
      </c>
      <c r="BG19" s="14" t="str">
        <f t="shared" si="50"/>
        <v/>
      </c>
      <c r="BH19" s="14" t="str">
        <f t="shared" si="51"/>
        <v/>
      </c>
      <c r="BI19" s="14" t="str">
        <f t="shared" si="52"/>
        <v/>
      </c>
      <c r="BJ19" s="14" t="str">
        <f t="shared" si="53"/>
        <v/>
      </c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ht="15.75" customHeight="1">
      <c r="A20" s="16" t="s">
        <v>64</v>
      </c>
      <c r="C20" s="40"/>
      <c r="D20" s="41" t="s">
        <v>65</v>
      </c>
      <c r="E20" s="23" t="s">
        <v>59</v>
      </c>
      <c r="F20" s="23" t="s">
        <v>27</v>
      </c>
      <c r="G20" s="12">
        <v>45859.0</v>
      </c>
      <c r="H20" s="12">
        <v>45863.0</v>
      </c>
      <c r="I20" s="24"/>
      <c r="J20" s="14" t="str">
        <f t="shared" si="54"/>
        <v/>
      </c>
      <c r="K20" s="14" t="str">
        <f t="shared" si="55"/>
        <v/>
      </c>
      <c r="L20" s="14" t="str">
        <f t="shared" si="3"/>
        <v/>
      </c>
      <c r="M20" s="14" t="str">
        <f t="shared" si="4"/>
        <v/>
      </c>
      <c r="N20" s="14" t="str">
        <f t="shared" si="5"/>
        <v/>
      </c>
      <c r="O20" s="14" t="str">
        <f t="shared" si="6"/>
        <v/>
      </c>
      <c r="P20" s="14" t="str">
        <f t="shared" si="7"/>
        <v/>
      </c>
      <c r="Q20" s="14" t="str">
        <f t="shared" si="8"/>
        <v/>
      </c>
      <c r="R20" s="14" t="str">
        <f t="shared" si="9"/>
        <v/>
      </c>
      <c r="S20" s="14" t="str">
        <f t="shared" si="10"/>
        <v/>
      </c>
      <c r="T20" s="14" t="str">
        <f t="shared" si="11"/>
        <v/>
      </c>
      <c r="U20" s="14" t="str">
        <f t="shared" si="12"/>
        <v/>
      </c>
      <c r="V20" s="14" t="str">
        <f t="shared" si="13"/>
        <v/>
      </c>
      <c r="W20" s="14" t="str">
        <f t="shared" si="14"/>
        <v/>
      </c>
      <c r="X20" s="14" t="str">
        <f t="shared" si="15"/>
        <v/>
      </c>
      <c r="Y20" s="14" t="str">
        <f t="shared" si="16"/>
        <v/>
      </c>
      <c r="Z20" s="14" t="str">
        <f t="shared" si="17"/>
        <v/>
      </c>
      <c r="AA20" s="14" t="str">
        <f t="shared" si="18"/>
        <v/>
      </c>
      <c r="AB20" s="14" t="str">
        <f t="shared" si="19"/>
        <v/>
      </c>
      <c r="AC20" s="14" t="str">
        <f t="shared" si="20"/>
        <v/>
      </c>
      <c r="AD20" s="14" t="str">
        <f t="shared" si="21"/>
        <v/>
      </c>
      <c r="AE20" s="25" t="str">
        <f t="shared" si="22"/>
        <v>진행 예정</v>
      </c>
      <c r="AF20" s="25" t="str">
        <f t="shared" si="23"/>
        <v>진행 예정</v>
      </c>
      <c r="AG20" s="25" t="str">
        <f t="shared" si="24"/>
        <v>진행 예정</v>
      </c>
      <c r="AH20" s="25" t="str">
        <f t="shared" si="25"/>
        <v>진행 예정</v>
      </c>
      <c r="AI20" s="25" t="str">
        <f t="shared" si="26"/>
        <v>진행 예정</v>
      </c>
      <c r="AJ20" s="14" t="str">
        <f t="shared" si="27"/>
        <v/>
      </c>
      <c r="AK20" s="14" t="str">
        <f t="shared" si="28"/>
        <v/>
      </c>
      <c r="AL20" s="14" t="str">
        <f t="shared" si="29"/>
        <v/>
      </c>
      <c r="AM20" s="14" t="str">
        <f t="shared" si="30"/>
        <v/>
      </c>
      <c r="AN20" s="14" t="str">
        <f t="shared" si="31"/>
        <v/>
      </c>
      <c r="AO20" s="14" t="str">
        <f t="shared" si="32"/>
        <v/>
      </c>
      <c r="AP20" s="14" t="str">
        <f t="shared" si="33"/>
        <v/>
      </c>
      <c r="AQ20" s="14" t="str">
        <f t="shared" si="34"/>
        <v/>
      </c>
      <c r="AR20" s="14" t="str">
        <f t="shared" si="35"/>
        <v/>
      </c>
      <c r="AS20" s="14" t="str">
        <f t="shared" si="36"/>
        <v/>
      </c>
      <c r="AT20" s="14" t="str">
        <f t="shared" si="37"/>
        <v/>
      </c>
      <c r="AU20" s="14" t="str">
        <f t="shared" si="38"/>
        <v/>
      </c>
      <c r="AV20" s="14" t="str">
        <f t="shared" si="39"/>
        <v/>
      </c>
      <c r="AW20" s="14" t="str">
        <f t="shared" si="40"/>
        <v/>
      </c>
      <c r="AX20" s="14" t="str">
        <f t="shared" si="41"/>
        <v/>
      </c>
      <c r="AY20" s="14" t="str">
        <f t="shared" si="42"/>
        <v/>
      </c>
      <c r="AZ20" s="14" t="str">
        <f t="shared" si="43"/>
        <v/>
      </c>
      <c r="BA20" s="14" t="str">
        <f t="shared" si="44"/>
        <v/>
      </c>
      <c r="BB20" s="14" t="str">
        <f t="shared" si="45"/>
        <v/>
      </c>
      <c r="BC20" s="14" t="str">
        <f t="shared" si="46"/>
        <v/>
      </c>
      <c r="BD20" s="14" t="str">
        <f t="shared" si="47"/>
        <v/>
      </c>
      <c r="BE20" s="14" t="str">
        <f t="shared" si="48"/>
        <v/>
      </c>
      <c r="BF20" s="14" t="str">
        <f t="shared" si="49"/>
        <v/>
      </c>
      <c r="BG20" s="14" t="str">
        <f t="shared" si="50"/>
        <v/>
      </c>
      <c r="BH20" s="14" t="str">
        <f t="shared" si="51"/>
        <v/>
      </c>
      <c r="BI20" s="14" t="str">
        <f t="shared" si="52"/>
        <v/>
      </c>
      <c r="BJ20" s="14" t="str">
        <f t="shared" si="53"/>
        <v/>
      </c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ht="15.75" customHeight="1">
      <c r="A21" s="16" t="s">
        <v>66</v>
      </c>
      <c r="C21" s="40"/>
      <c r="D21" s="41" t="s">
        <v>67</v>
      </c>
      <c r="E21" s="23" t="s">
        <v>59</v>
      </c>
      <c r="F21" s="23" t="s">
        <v>27</v>
      </c>
      <c r="G21" s="12">
        <v>45859.0</v>
      </c>
      <c r="H21" s="12">
        <v>45863.0</v>
      </c>
      <c r="I21" s="24"/>
      <c r="J21" s="14" t="str">
        <f t="shared" si="54"/>
        <v/>
      </c>
      <c r="K21" s="14" t="str">
        <f t="shared" si="55"/>
        <v/>
      </c>
      <c r="L21" s="14" t="str">
        <f t="shared" si="3"/>
        <v/>
      </c>
      <c r="M21" s="14" t="str">
        <f t="shared" si="4"/>
        <v/>
      </c>
      <c r="N21" s="14" t="str">
        <f t="shared" si="5"/>
        <v/>
      </c>
      <c r="O21" s="14" t="str">
        <f t="shared" si="6"/>
        <v/>
      </c>
      <c r="P21" s="14" t="str">
        <f t="shared" si="7"/>
        <v/>
      </c>
      <c r="Q21" s="14" t="str">
        <f t="shared" si="8"/>
        <v/>
      </c>
      <c r="R21" s="14" t="str">
        <f t="shared" si="9"/>
        <v/>
      </c>
      <c r="S21" s="14" t="str">
        <f t="shared" si="10"/>
        <v/>
      </c>
      <c r="T21" s="14" t="str">
        <f t="shared" si="11"/>
        <v/>
      </c>
      <c r="U21" s="14" t="str">
        <f t="shared" si="12"/>
        <v/>
      </c>
      <c r="V21" s="14" t="str">
        <f t="shared" si="13"/>
        <v/>
      </c>
      <c r="W21" s="14" t="str">
        <f t="shared" si="14"/>
        <v/>
      </c>
      <c r="X21" s="14" t="str">
        <f t="shared" si="15"/>
        <v/>
      </c>
      <c r="Y21" s="14" t="str">
        <f t="shared" si="16"/>
        <v/>
      </c>
      <c r="Z21" s="14" t="str">
        <f t="shared" si="17"/>
        <v/>
      </c>
      <c r="AA21" s="14" t="str">
        <f t="shared" si="18"/>
        <v/>
      </c>
      <c r="AB21" s="14" t="str">
        <f t="shared" si="19"/>
        <v/>
      </c>
      <c r="AC21" s="14" t="str">
        <f t="shared" si="20"/>
        <v/>
      </c>
      <c r="AD21" s="14" t="str">
        <f t="shared" si="21"/>
        <v/>
      </c>
      <c r="AE21" s="25" t="str">
        <f t="shared" si="22"/>
        <v>진행 예정</v>
      </c>
      <c r="AF21" s="25" t="str">
        <f t="shared" si="23"/>
        <v>진행 예정</v>
      </c>
      <c r="AG21" s="25" t="str">
        <f t="shared" si="24"/>
        <v>진행 예정</v>
      </c>
      <c r="AH21" s="25" t="str">
        <f t="shared" si="25"/>
        <v>진행 예정</v>
      </c>
      <c r="AI21" s="25" t="str">
        <f t="shared" si="26"/>
        <v>진행 예정</v>
      </c>
      <c r="AJ21" s="14" t="str">
        <f t="shared" si="27"/>
        <v/>
      </c>
      <c r="AK21" s="14" t="str">
        <f t="shared" si="28"/>
        <v/>
      </c>
      <c r="AL21" s="14" t="str">
        <f t="shared" si="29"/>
        <v/>
      </c>
      <c r="AM21" s="14" t="str">
        <f t="shared" si="30"/>
        <v/>
      </c>
      <c r="AN21" s="14" t="str">
        <f t="shared" si="31"/>
        <v/>
      </c>
      <c r="AO21" s="14" t="str">
        <f t="shared" si="32"/>
        <v/>
      </c>
      <c r="AP21" s="14" t="str">
        <f t="shared" si="33"/>
        <v/>
      </c>
      <c r="AQ21" s="14" t="str">
        <f t="shared" si="34"/>
        <v/>
      </c>
      <c r="AR21" s="14" t="str">
        <f t="shared" si="35"/>
        <v/>
      </c>
      <c r="AS21" s="14" t="str">
        <f t="shared" si="36"/>
        <v/>
      </c>
      <c r="AT21" s="14" t="str">
        <f t="shared" si="37"/>
        <v/>
      </c>
      <c r="AU21" s="14" t="str">
        <f t="shared" si="38"/>
        <v/>
      </c>
      <c r="AV21" s="14" t="str">
        <f t="shared" si="39"/>
        <v/>
      </c>
      <c r="AW21" s="14" t="str">
        <f t="shared" si="40"/>
        <v/>
      </c>
      <c r="AX21" s="14" t="str">
        <f t="shared" si="41"/>
        <v/>
      </c>
      <c r="AY21" s="14" t="str">
        <f t="shared" si="42"/>
        <v/>
      </c>
      <c r="AZ21" s="14" t="str">
        <f t="shared" si="43"/>
        <v/>
      </c>
      <c r="BA21" s="14" t="str">
        <f t="shared" si="44"/>
        <v/>
      </c>
      <c r="BB21" s="14" t="str">
        <f t="shared" si="45"/>
        <v/>
      </c>
      <c r="BC21" s="14" t="str">
        <f t="shared" si="46"/>
        <v/>
      </c>
      <c r="BD21" s="14" t="str">
        <f t="shared" si="47"/>
        <v/>
      </c>
      <c r="BE21" s="14" t="str">
        <f t="shared" si="48"/>
        <v/>
      </c>
      <c r="BF21" s="14" t="str">
        <f t="shared" si="49"/>
        <v/>
      </c>
      <c r="BG21" s="14" t="str">
        <f t="shared" si="50"/>
        <v/>
      </c>
      <c r="BH21" s="14" t="str">
        <f t="shared" si="51"/>
        <v/>
      </c>
      <c r="BI21" s="14" t="str">
        <f t="shared" si="52"/>
        <v/>
      </c>
      <c r="BJ21" s="14" t="str">
        <f t="shared" si="53"/>
        <v/>
      </c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ht="15.75" customHeight="1">
      <c r="A22" s="16" t="s">
        <v>68</v>
      </c>
      <c r="C22" s="42"/>
      <c r="D22" s="41" t="s">
        <v>69</v>
      </c>
      <c r="E22" s="23" t="s">
        <v>59</v>
      </c>
      <c r="F22" s="23" t="s">
        <v>27</v>
      </c>
      <c r="G22" s="12">
        <v>45859.0</v>
      </c>
      <c r="H22" s="12">
        <v>45863.0</v>
      </c>
      <c r="I22" s="24"/>
      <c r="J22" s="14" t="str">
        <f t="shared" si="54"/>
        <v/>
      </c>
      <c r="K22" s="14" t="str">
        <f t="shared" si="55"/>
        <v/>
      </c>
      <c r="L22" s="14" t="str">
        <f t="shared" si="3"/>
        <v/>
      </c>
      <c r="M22" s="14" t="str">
        <f t="shared" si="4"/>
        <v/>
      </c>
      <c r="N22" s="14" t="str">
        <f t="shared" si="5"/>
        <v/>
      </c>
      <c r="O22" s="14" t="str">
        <f t="shared" si="6"/>
        <v/>
      </c>
      <c r="P22" s="14" t="str">
        <f t="shared" si="7"/>
        <v/>
      </c>
      <c r="Q22" s="14" t="str">
        <f t="shared" si="8"/>
        <v/>
      </c>
      <c r="R22" s="14" t="str">
        <f t="shared" si="9"/>
        <v/>
      </c>
      <c r="S22" s="14" t="str">
        <f t="shared" si="10"/>
        <v/>
      </c>
      <c r="T22" s="14" t="str">
        <f t="shared" si="11"/>
        <v/>
      </c>
      <c r="U22" s="14" t="str">
        <f t="shared" si="12"/>
        <v/>
      </c>
      <c r="V22" s="14" t="str">
        <f t="shared" si="13"/>
        <v/>
      </c>
      <c r="W22" s="14" t="str">
        <f t="shared" si="14"/>
        <v/>
      </c>
      <c r="X22" s="14" t="str">
        <f t="shared" si="15"/>
        <v/>
      </c>
      <c r="Y22" s="14" t="str">
        <f t="shared" si="16"/>
        <v/>
      </c>
      <c r="Z22" s="14" t="str">
        <f t="shared" si="17"/>
        <v/>
      </c>
      <c r="AA22" s="14" t="str">
        <f t="shared" si="18"/>
        <v/>
      </c>
      <c r="AB22" s="14" t="str">
        <f t="shared" si="19"/>
        <v/>
      </c>
      <c r="AC22" s="14" t="str">
        <f t="shared" si="20"/>
        <v/>
      </c>
      <c r="AD22" s="14" t="str">
        <f t="shared" si="21"/>
        <v/>
      </c>
      <c r="AE22" s="25" t="str">
        <f t="shared" si="22"/>
        <v>진행 예정</v>
      </c>
      <c r="AF22" s="25" t="str">
        <f t="shared" si="23"/>
        <v>진행 예정</v>
      </c>
      <c r="AG22" s="25" t="str">
        <f t="shared" si="24"/>
        <v>진행 예정</v>
      </c>
      <c r="AH22" s="25" t="str">
        <f t="shared" si="25"/>
        <v>진행 예정</v>
      </c>
      <c r="AI22" s="25" t="str">
        <f t="shared" si="26"/>
        <v>진행 예정</v>
      </c>
      <c r="AJ22" s="14" t="str">
        <f t="shared" si="27"/>
        <v/>
      </c>
      <c r="AK22" s="14" t="str">
        <f t="shared" si="28"/>
        <v/>
      </c>
      <c r="AL22" s="14" t="str">
        <f t="shared" si="29"/>
        <v/>
      </c>
      <c r="AM22" s="14" t="str">
        <f t="shared" si="30"/>
        <v/>
      </c>
      <c r="AN22" s="14" t="str">
        <f t="shared" si="31"/>
        <v/>
      </c>
      <c r="AO22" s="14" t="str">
        <f t="shared" si="32"/>
        <v/>
      </c>
      <c r="AP22" s="14" t="str">
        <f t="shared" si="33"/>
        <v/>
      </c>
      <c r="AQ22" s="14" t="str">
        <f t="shared" si="34"/>
        <v/>
      </c>
      <c r="AR22" s="14" t="str">
        <f t="shared" si="35"/>
        <v/>
      </c>
      <c r="AS22" s="14" t="str">
        <f t="shared" si="36"/>
        <v/>
      </c>
      <c r="AT22" s="14" t="str">
        <f t="shared" si="37"/>
        <v/>
      </c>
      <c r="AU22" s="14" t="str">
        <f t="shared" si="38"/>
        <v/>
      </c>
      <c r="AV22" s="14" t="str">
        <f t="shared" si="39"/>
        <v/>
      </c>
      <c r="AW22" s="14" t="str">
        <f t="shared" si="40"/>
        <v/>
      </c>
      <c r="AX22" s="14" t="str">
        <f t="shared" si="41"/>
        <v/>
      </c>
      <c r="AY22" s="14" t="str">
        <f t="shared" si="42"/>
        <v/>
      </c>
      <c r="AZ22" s="14" t="str">
        <f t="shared" si="43"/>
        <v/>
      </c>
      <c r="BA22" s="14" t="str">
        <f t="shared" si="44"/>
        <v/>
      </c>
      <c r="BB22" s="14" t="str">
        <f t="shared" si="45"/>
        <v/>
      </c>
      <c r="BC22" s="14" t="str">
        <f t="shared" si="46"/>
        <v/>
      </c>
      <c r="BD22" s="14" t="str">
        <f t="shared" si="47"/>
        <v/>
      </c>
      <c r="BE22" s="14" t="str">
        <f t="shared" si="48"/>
        <v/>
      </c>
      <c r="BF22" s="14" t="str">
        <f t="shared" si="49"/>
        <v/>
      </c>
      <c r="BG22" s="14" t="str">
        <f t="shared" si="50"/>
        <v/>
      </c>
      <c r="BH22" s="14" t="str">
        <f t="shared" si="51"/>
        <v/>
      </c>
      <c r="BI22" s="14" t="str">
        <f t="shared" si="52"/>
        <v/>
      </c>
      <c r="BJ22" s="14" t="str">
        <f t="shared" si="53"/>
        <v/>
      </c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ht="15.75" customHeight="1">
      <c r="A23" s="16" t="s">
        <v>70</v>
      </c>
      <c r="C23" s="43" t="s">
        <v>71</v>
      </c>
      <c r="D23" s="41" t="s">
        <v>72</v>
      </c>
      <c r="E23" s="23" t="s">
        <v>73</v>
      </c>
      <c r="F23" s="23" t="s">
        <v>27</v>
      </c>
      <c r="G23" s="12">
        <v>45866.0</v>
      </c>
      <c r="H23" s="12">
        <v>45870.0</v>
      </c>
      <c r="I23" s="24"/>
      <c r="J23" s="14" t="str">
        <f t="shared" si="54"/>
        <v/>
      </c>
      <c r="K23" s="14" t="str">
        <f t="shared" si="55"/>
        <v/>
      </c>
      <c r="L23" s="14" t="str">
        <f t="shared" si="3"/>
        <v/>
      </c>
      <c r="M23" s="14" t="str">
        <f t="shared" si="4"/>
        <v/>
      </c>
      <c r="N23" s="14" t="str">
        <f t="shared" si="5"/>
        <v/>
      </c>
      <c r="O23" s="14" t="str">
        <f t="shared" si="6"/>
        <v/>
      </c>
      <c r="P23" s="14" t="str">
        <f t="shared" si="7"/>
        <v/>
      </c>
      <c r="Q23" s="14" t="str">
        <f t="shared" si="8"/>
        <v/>
      </c>
      <c r="R23" s="14" t="str">
        <f t="shared" si="9"/>
        <v/>
      </c>
      <c r="S23" s="14" t="str">
        <f t="shared" si="10"/>
        <v/>
      </c>
      <c r="T23" s="14" t="str">
        <f t="shared" si="11"/>
        <v/>
      </c>
      <c r="U23" s="14" t="str">
        <f t="shared" si="12"/>
        <v/>
      </c>
      <c r="V23" s="14" t="str">
        <f t="shared" si="13"/>
        <v/>
      </c>
      <c r="W23" s="14" t="str">
        <f t="shared" si="14"/>
        <v/>
      </c>
      <c r="X23" s="14" t="str">
        <f t="shared" si="15"/>
        <v/>
      </c>
      <c r="Y23" s="14" t="str">
        <f t="shared" si="16"/>
        <v/>
      </c>
      <c r="Z23" s="14" t="str">
        <f t="shared" si="17"/>
        <v/>
      </c>
      <c r="AA23" s="14" t="str">
        <f t="shared" si="18"/>
        <v/>
      </c>
      <c r="AB23" s="14" t="str">
        <f t="shared" si="19"/>
        <v/>
      </c>
      <c r="AC23" s="14" t="str">
        <f t="shared" si="20"/>
        <v/>
      </c>
      <c r="AD23" s="14" t="str">
        <f t="shared" si="21"/>
        <v/>
      </c>
      <c r="AE23" s="14" t="str">
        <f t="shared" si="22"/>
        <v/>
      </c>
      <c r="AF23" s="14" t="str">
        <f t="shared" si="23"/>
        <v/>
      </c>
      <c r="AG23" s="14" t="str">
        <f t="shared" si="24"/>
        <v/>
      </c>
      <c r="AH23" s="14" t="str">
        <f t="shared" si="25"/>
        <v/>
      </c>
      <c r="AI23" s="14" t="str">
        <f t="shared" si="26"/>
        <v/>
      </c>
      <c r="AJ23" s="14" t="str">
        <f t="shared" si="27"/>
        <v/>
      </c>
      <c r="AK23" s="14" t="str">
        <f t="shared" si="28"/>
        <v/>
      </c>
      <c r="AL23" s="25" t="str">
        <f t="shared" si="29"/>
        <v>진행 예정</v>
      </c>
      <c r="AM23" s="25" t="str">
        <f t="shared" si="30"/>
        <v>진행 예정</v>
      </c>
      <c r="AN23" s="25" t="str">
        <f t="shared" si="31"/>
        <v>진행 예정</v>
      </c>
      <c r="AO23" s="25" t="str">
        <f t="shared" si="32"/>
        <v>진행 예정</v>
      </c>
      <c r="AP23" s="25" t="str">
        <f t="shared" si="33"/>
        <v>진행 예정</v>
      </c>
      <c r="AQ23" s="14" t="str">
        <f t="shared" si="34"/>
        <v/>
      </c>
      <c r="AR23" s="14" t="str">
        <f t="shared" si="35"/>
        <v/>
      </c>
      <c r="AS23" s="14" t="str">
        <f t="shared" si="36"/>
        <v/>
      </c>
      <c r="AT23" s="14" t="str">
        <f t="shared" si="37"/>
        <v/>
      </c>
      <c r="AU23" s="14" t="str">
        <f t="shared" si="38"/>
        <v/>
      </c>
      <c r="AV23" s="14" t="str">
        <f t="shared" si="39"/>
        <v/>
      </c>
      <c r="AW23" s="14" t="str">
        <f t="shared" si="40"/>
        <v/>
      </c>
      <c r="AX23" s="14" t="str">
        <f t="shared" si="41"/>
        <v/>
      </c>
      <c r="AY23" s="14" t="str">
        <f t="shared" si="42"/>
        <v/>
      </c>
      <c r="AZ23" s="14" t="str">
        <f t="shared" si="43"/>
        <v/>
      </c>
      <c r="BA23" s="14" t="str">
        <f t="shared" si="44"/>
        <v/>
      </c>
      <c r="BB23" s="14" t="str">
        <f t="shared" si="45"/>
        <v/>
      </c>
      <c r="BC23" s="14" t="str">
        <f t="shared" si="46"/>
        <v/>
      </c>
      <c r="BD23" s="14" t="str">
        <f t="shared" si="47"/>
        <v/>
      </c>
      <c r="BE23" s="14" t="str">
        <f t="shared" si="48"/>
        <v/>
      </c>
      <c r="BF23" s="14" t="str">
        <f t="shared" si="49"/>
        <v/>
      </c>
      <c r="BG23" s="14" t="str">
        <f t="shared" si="50"/>
        <v/>
      </c>
      <c r="BH23" s="14" t="str">
        <f t="shared" si="51"/>
        <v/>
      </c>
      <c r="BI23" s="14" t="str">
        <f t="shared" si="52"/>
        <v/>
      </c>
      <c r="BJ23" s="14" t="str">
        <f t="shared" si="53"/>
        <v/>
      </c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ht="15.75" customHeight="1">
      <c r="A24" s="16" t="s">
        <v>74</v>
      </c>
      <c r="C24" s="40"/>
      <c r="D24" s="41" t="s">
        <v>75</v>
      </c>
      <c r="E24" s="23" t="s">
        <v>73</v>
      </c>
      <c r="F24" s="23" t="s">
        <v>27</v>
      </c>
      <c r="G24" s="12">
        <v>45866.0</v>
      </c>
      <c r="H24" s="12">
        <v>45870.0</v>
      </c>
      <c r="I24" s="24"/>
      <c r="J24" s="14" t="str">
        <f t="shared" si="54"/>
        <v/>
      </c>
      <c r="K24" s="14" t="str">
        <f t="shared" si="55"/>
        <v/>
      </c>
      <c r="L24" s="14" t="str">
        <f t="shared" si="3"/>
        <v/>
      </c>
      <c r="M24" s="14" t="str">
        <f t="shared" si="4"/>
        <v/>
      </c>
      <c r="N24" s="14" t="str">
        <f t="shared" si="5"/>
        <v/>
      </c>
      <c r="O24" s="14" t="str">
        <f t="shared" si="6"/>
        <v/>
      </c>
      <c r="P24" s="14" t="str">
        <f t="shared" si="7"/>
        <v/>
      </c>
      <c r="Q24" s="14" t="str">
        <f t="shared" si="8"/>
        <v/>
      </c>
      <c r="R24" s="14" t="str">
        <f t="shared" si="9"/>
        <v/>
      </c>
      <c r="S24" s="14" t="str">
        <f t="shared" si="10"/>
        <v/>
      </c>
      <c r="T24" s="14" t="str">
        <f t="shared" si="11"/>
        <v/>
      </c>
      <c r="U24" s="14" t="str">
        <f t="shared" si="12"/>
        <v/>
      </c>
      <c r="V24" s="14" t="str">
        <f t="shared" si="13"/>
        <v/>
      </c>
      <c r="W24" s="14" t="str">
        <f t="shared" si="14"/>
        <v/>
      </c>
      <c r="X24" s="14" t="str">
        <f t="shared" si="15"/>
        <v/>
      </c>
      <c r="Y24" s="14" t="str">
        <f t="shared" si="16"/>
        <v/>
      </c>
      <c r="Z24" s="14" t="str">
        <f t="shared" si="17"/>
        <v/>
      </c>
      <c r="AA24" s="14" t="str">
        <f t="shared" si="18"/>
        <v/>
      </c>
      <c r="AB24" s="14" t="str">
        <f t="shared" si="19"/>
        <v/>
      </c>
      <c r="AC24" s="14" t="str">
        <f t="shared" si="20"/>
        <v/>
      </c>
      <c r="AD24" s="14" t="str">
        <f t="shared" si="21"/>
        <v/>
      </c>
      <c r="AE24" s="14" t="str">
        <f t="shared" si="22"/>
        <v/>
      </c>
      <c r="AF24" s="14" t="str">
        <f t="shared" si="23"/>
        <v/>
      </c>
      <c r="AG24" s="14" t="str">
        <f t="shared" si="24"/>
        <v/>
      </c>
      <c r="AH24" s="14" t="str">
        <f t="shared" si="25"/>
        <v/>
      </c>
      <c r="AI24" s="14" t="str">
        <f t="shared" si="26"/>
        <v/>
      </c>
      <c r="AJ24" s="14" t="str">
        <f t="shared" si="27"/>
        <v/>
      </c>
      <c r="AK24" s="14" t="str">
        <f t="shared" si="28"/>
        <v/>
      </c>
      <c r="AL24" s="25" t="str">
        <f t="shared" si="29"/>
        <v>진행 예정</v>
      </c>
      <c r="AM24" s="25" t="str">
        <f t="shared" si="30"/>
        <v>진행 예정</v>
      </c>
      <c r="AN24" s="25" t="str">
        <f t="shared" si="31"/>
        <v>진행 예정</v>
      </c>
      <c r="AO24" s="25" t="str">
        <f t="shared" si="32"/>
        <v>진행 예정</v>
      </c>
      <c r="AP24" s="25" t="str">
        <f t="shared" si="33"/>
        <v>진행 예정</v>
      </c>
      <c r="AQ24" s="14" t="str">
        <f t="shared" si="34"/>
        <v/>
      </c>
      <c r="AR24" s="14" t="str">
        <f t="shared" si="35"/>
        <v/>
      </c>
      <c r="AS24" s="14" t="str">
        <f t="shared" si="36"/>
        <v/>
      </c>
      <c r="AT24" s="14" t="str">
        <f t="shared" si="37"/>
        <v/>
      </c>
      <c r="AU24" s="14" t="str">
        <f t="shared" si="38"/>
        <v/>
      </c>
      <c r="AV24" s="14" t="str">
        <f t="shared" si="39"/>
        <v/>
      </c>
      <c r="AW24" s="14" t="str">
        <f t="shared" si="40"/>
        <v/>
      </c>
      <c r="AX24" s="14" t="str">
        <f t="shared" si="41"/>
        <v/>
      </c>
      <c r="AY24" s="14" t="str">
        <f t="shared" si="42"/>
        <v/>
      </c>
      <c r="AZ24" s="14" t="str">
        <f t="shared" si="43"/>
        <v/>
      </c>
      <c r="BA24" s="14" t="str">
        <f t="shared" si="44"/>
        <v/>
      </c>
      <c r="BB24" s="14" t="str">
        <f t="shared" si="45"/>
        <v/>
      </c>
      <c r="BC24" s="14" t="str">
        <f t="shared" si="46"/>
        <v/>
      </c>
      <c r="BD24" s="14" t="str">
        <f t="shared" si="47"/>
        <v/>
      </c>
      <c r="BE24" s="14" t="str">
        <f t="shared" si="48"/>
        <v/>
      </c>
      <c r="BF24" s="14" t="str">
        <f t="shared" si="49"/>
        <v/>
      </c>
      <c r="BG24" s="14" t="str">
        <f t="shared" si="50"/>
        <v/>
      </c>
      <c r="BH24" s="14" t="str">
        <f t="shared" si="51"/>
        <v/>
      </c>
      <c r="BI24" s="14" t="str">
        <f t="shared" si="52"/>
        <v/>
      </c>
      <c r="BJ24" s="14" t="str">
        <f t="shared" si="53"/>
        <v/>
      </c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ht="15.75" customHeight="1">
      <c r="A25" s="16" t="s">
        <v>76</v>
      </c>
      <c r="C25" s="40"/>
      <c r="D25" s="41" t="s">
        <v>77</v>
      </c>
      <c r="E25" s="23" t="s">
        <v>78</v>
      </c>
      <c r="F25" s="23" t="s">
        <v>27</v>
      </c>
      <c r="G25" s="12">
        <v>45866.0</v>
      </c>
      <c r="H25" s="12">
        <v>45870.0</v>
      </c>
      <c r="I25" s="24"/>
      <c r="J25" s="14" t="str">
        <f t="shared" si="54"/>
        <v/>
      </c>
      <c r="K25" s="14" t="str">
        <f t="shared" si="55"/>
        <v/>
      </c>
      <c r="L25" s="14" t="str">
        <f t="shared" si="3"/>
        <v/>
      </c>
      <c r="M25" s="14" t="str">
        <f t="shared" si="4"/>
        <v/>
      </c>
      <c r="N25" s="14" t="str">
        <f t="shared" si="5"/>
        <v/>
      </c>
      <c r="O25" s="14" t="str">
        <f t="shared" si="6"/>
        <v/>
      </c>
      <c r="P25" s="14" t="str">
        <f t="shared" si="7"/>
        <v/>
      </c>
      <c r="Q25" s="14" t="str">
        <f t="shared" si="8"/>
        <v/>
      </c>
      <c r="R25" s="14" t="str">
        <f t="shared" si="9"/>
        <v/>
      </c>
      <c r="S25" s="14" t="str">
        <f t="shared" si="10"/>
        <v/>
      </c>
      <c r="T25" s="14" t="str">
        <f t="shared" si="11"/>
        <v/>
      </c>
      <c r="U25" s="14" t="str">
        <f t="shared" si="12"/>
        <v/>
      </c>
      <c r="V25" s="14" t="str">
        <f t="shared" si="13"/>
        <v/>
      </c>
      <c r="W25" s="14" t="str">
        <f t="shared" si="14"/>
        <v/>
      </c>
      <c r="X25" s="14" t="str">
        <f t="shared" si="15"/>
        <v/>
      </c>
      <c r="Y25" s="14" t="str">
        <f t="shared" si="16"/>
        <v/>
      </c>
      <c r="Z25" s="14" t="str">
        <f t="shared" si="17"/>
        <v/>
      </c>
      <c r="AA25" s="14" t="str">
        <f t="shared" si="18"/>
        <v/>
      </c>
      <c r="AB25" s="14" t="str">
        <f t="shared" si="19"/>
        <v/>
      </c>
      <c r="AC25" s="14" t="str">
        <f t="shared" si="20"/>
        <v/>
      </c>
      <c r="AD25" s="14" t="str">
        <f t="shared" si="21"/>
        <v/>
      </c>
      <c r="AE25" s="14" t="str">
        <f t="shared" si="22"/>
        <v/>
      </c>
      <c r="AF25" s="14" t="str">
        <f t="shared" si="23"/>
        <v/>
      </c>
      <c r="AG25" s="14" t="str">
        <f t="shared" si="24"/>
        <v/>
      </c>
      <c r="AH25" s="14" t="str">
        <f t="shared" si="25"/>
        <v/>
      </c>
      <c r="AI25" s="14" t="str">
        <f t="shared" si="26"/>
        <v/>
      </c>
      <c r="AJ25" s="14" t="str">
        <f t="shared" si="27"/>
        <v/>
      </c>
      <c r="AK25" s="14" t="str">
        <f t="shared" si="28"/>
        <v/>
      </c>
      <c r="AL25" s="25" t="str">
        <f t="shared" si="29"/>
        <v>진행 예정</v>
      </c>
      <c r="AM25" s="25" t="str">
        <f t="shared" si="30"/>
        <v>진행 예정</v>
      </c>
      <c r="AN25" s="25" t="str">
        <f t="shared" si="31"/>
        <v>진행 예정</v>
      </c>
      <c r="AO25" s="25" t="str">
        <f t="shared" si="32"/>
        <v>진행 예정</v>
      </c>
      <c r="AP25" s="25" t="str">
        <f t="shared" si="33"/>
        <v>진행 예정</v>
      </c>
      <c r="AQ25" s="14" t="str">
        <f t="shared" si="34"/>
        <v/>
      </c>
      <c r="AR25" s="14" t="str">
        <f t="shared" si="35"/>
        <v/>
      </c>
      <c r="AS25" s="14" t="str">
        <f t="shared" si="36"/>
        <v/>
      </c>
      <c r="AT25" s="14" t="str">
        <f t="shared" si="37"/>
        <v/>
      </c>
      <c r="AU25" s="14" t="str">
        <f t="shared" si="38"/>
        <v/>
      </c>
      <c r="AV25" s="14" t="str">
        <f t="shared" si="39"/>
        <v/>
      </c>
      <c r="AW25" s="14" t="str">
        <f t="shared" si="40"/>
        <v/>
      </c>
      <c r="AX25" s="14" t="str">
        <f t="shared" si="41"/>
        <v/>
      </c>
      <c r="AY25" s="14" t="str">
        <f t="shared" si="42"/>
        <v/>
      </c>
      <c r="AZ25" s="14" t="str">
        <f t="shared" si="43"/>
        <v/>
      </c>
      <c r="BA25" s="14" t="str">
        <f t="shared" si="44"/>
        <v/>
      </c>
      <c r="BB25" s="14" t="str">
        <f t="shared" si="45"/>
        <v/>
      </c>
      <c r="BC25" s="14" t="str">
        <f t="shared" si="46"/>
        <v/>
      </c>
      <c r="BD25" s="14" t="str">
        <f t="shared" si="47"/>
        <v/>
      </c>
      <c r="BE25" s="14" t="str">
        <f t="shared" si="48"/>
        <v/>
      </c>
      <c r="BF25" s="14" t="str">
        <f t="shared" si="49"/>
        <v/>
      </c>
      <c r="BG25" s="14" t="str">
        <f t="shared" si="50"/>
        <v/>
      </c>
      <c r="BH25" s="14" t="str">
        <f t="shared" si="51"/>
        <v/>
      </c>
      <c r="BI25" s="14" t="str">
        <f t="shared" si="52"/>
        <v/>
      </c>
      <c r="BJ25" s="14" t="str">
        <f t="shared" si="53"/>
        <v/>
      </c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ht="15.75" customHeight="1">
      <c r="A26" s="16" t="s">
        <v>79</v>
      </c>
      <c r="C26" s="40"/>
      <c r="D26" s="41" t="s">
        <v>80</v>
      </c>
      <c r="E26" s="23" t="s">
        <v>78</v>
      </c>
      <c r="F26" s="23" t="s">
        <v>27</v>
      </c>
      <c r="G26" s="12">
        <v>45866.0</v>
      </c>
      <c r="H26" s="12">
        <v>45870.0</v>
      </c>
      <c r="I26" s="24"/>
      <c r="J26" s="14" t="str">
        <f t="shared" si="54"/>
        <v/>
      </c>
      <c r="K26" s="14" t="str">
        <f t="shared" si="55"/>
        <v/>
      </c>
      <c r="L26" s="14" t="str">
        <f t="shared" si="3"/>
        <v/>
      </c>
      <c r="M26" s="14" t="str">
        <f t="shared" si="4"/>
        <v/>
      </c>
      <c r="N26" s="14" t="str">
        <f t="shared" si="5"/>
        <v/>
      </c>
      <c r="O26" s="14" t="str">
        <f t="shared" si="6"/>
        <v/>
      </c>
      <c r="P26" s="14" t="str">
        <f t="shared" si="7"/>
        <v/>
      </c>
      <c r="Q26" s="14" t="str">
        <f t="shared" si="8"/>
        <v/>
      </c>
      <c r="R26" s="14" t="str">
        <f t="shared" si="9"/>
        <v/>
      </c>
      <c r="S26" s="14" t="str">
        <f t="shared" si="10"/>
        <v/>
      </c>
      <c r="T26" s="14" t="str">
        <f t="shared" si="11"/>
        <v/>
      </c>
      <c r="U26" s="14" t="str">
        <f t="shared" si="12"/>
        <v/>
      </c>
      <c r="V26" s="14" t="str">
        <f t="shared" si="13"/>
        <v/>
      </c>
      <c r="W26" s="14" t="str">
        <f t="shared" si="14"/>
        <v/>
      </c>
      <c r="X26" s="14" t="str">
        <f t="shared" si="15"/>
        <v/>
      </c>
      <c r="Y26" s="14" t="str">
        <f t="shared" si="16"/>
        <v/>
      </c>
      <c r="Z26" s="14" t="str">
        <f t="shared" si="17"/>
        <v/>
      </c>
      <c r="AA26" s="14" t="str">
        <f t="shared" si="18"/>
        <v/>
      </c>
      <c r="AB26" s="14" t="str">
        <f t="shared" si="19"/>
        <v/>
      </c>
      <c r="AC26" s="14" t="str">
        <f t="shared" si="20"/>
        <v/>
      </c>
      <c r="AD26" s="14" t="str">
        <f t="shared" si="21"/>
        <v/>
      </c>
      <c r="AE26" s="14" t="str">
        <f t="shared" si="22"/>
        <v/>
      </c>
      <c r="AF26" s="14" t="str">
        <f t="shared" si="23"/>
        <v/>
      </c>
      <c r="AG26" s="14" t="str">
        <f t="shared" si="24"/>
        <v/>
      </c>
      <c r="AH26" s="14" t="str">
        <f t="shared" si="25"/>
        <v/>
      </c>
      <c r="AI26" s="14" t="str">
        <f t="shared" si="26"/>
        <v/>
      </c>
      <c r="AJ26" s="14" t="str">
        <f t="shared" si="27"/>
        <v/>
      </c>
      <c r="AK26" s="14" t="str">
        <f t="shared" si="28"/>
        <v/>
      </c>
      <c r="AL26" s="25" t="str">
        <f t="shared" si="29"/>
        <v>진행 예정</v>
      </c>
      <c r="AM26" s="25" t="str">
        <f t="shared" si="30"/>
        <v>진행 예정</v>
      </c>
      <c r="AN26" s="25" t="str">
        <f t="shared" si="31"/>
        <v>진행 예정</v>
      </c>
      <c r="AO26" s="25" t="str">
        <f t="shared" si="32"/>
        <v>진행 예정</v>
      </c>
      <c r="AP26" s="25" t="str">
        <f t="shared" si="33"/>
        <v>진행 예정</v>
      </c>
      <c r="AQ26" s="14" t="str">
        <f t="shared" si="34"/>
        <v/>
      </c>
      <c r="AR26" s="14" t="str">
        <f t="shared" si="35"/>
        <v/>
      </c>
      <c r="AS26" s="14" t="str">
        <f t="shared" si="36"/>
        <v/>
      </c>
      <c r="AT26" s="14" t="str">
        <f t="shared" si="37"/>
        <v/>
      </c>
      <c r="AU26" s="14" t="str">
        <f t="shared" si="38"/>
        <v/>
      </c>
      <c r="AV26" s="14" t="str">
        <f t="shared" si="39"/>
        <v/>
      </c>
      <c r="AW26" s="14" t="str">
        <f t="shared" si="40"/>
        <v/>
      </c>
      <c r="AX26" s="14" t="str">
        <f t="shared" si="41"/>
        <v/>
      </c>
      <c r="AY26" s="14" t="str">
        <f t="shared" si="42"/>
        <v/>
      </c>
      <c r="AZ26" s="14" t="str">
        <f t="shared" si="43"/>
        <v/>
      </c>
      <c r="BA26" s="14" t="str">
        <f t="shared" si="44"/>
        <v/>
      </c>
      <c r="BB26" s="14" t="str">
        <f t="shared" si="45"/>
        <v/>
      </c>
      <c r="BC26" s="14" t="str">
        <f t="shared" si="46"/>
        <v/>
      </c>
      <c r="BD26" s="14" t="str">
        <f t="shared" si="47"/>
        <v/>
      </c>
      <c r="BE26" s="14" t="str">
        <f t="shared" si="48"/>
        <v/>
      </c>
      <c r="BF26" s="14" t="str">
        <f t="shared" si="49"/>
        <v/>
      </c>
      <c r="BG26" s="14" t="str">
        <f t="shared" si="50"/>
        <v/>
      </c>
      <c r="BH26" s="14" t="str">
        <f t="shared" si="51"/>
        <v/>
      </c>
      <c r="BI26" s="14" t="str">
        <f t="shared" si="52"/>
        <v/>
      </c>
      <c r="BJ26" s="14" t="str">
        <f t="shared" si="53"/>
        <v/>
      </c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 ht="15.75" customHeight="1">
      <c r="A27" s="16" t="s">
        <v>81</v>
      </c>
      <c r="C27" s="42"/>
      <c r="D27" s="41" t="s">
        <v>82</v>
      </c>
      <c r="E27" s="23" t="s">
        <v>78</v>
      </c>
      <c r="F27" s="23" t="s">
        <v>27</v>
      </c>
      <c r="G27" s="12">
        <v>45866.0</v>
      </c>
      <c r="H27" s="12">
        <v>45870.0</v>
      </c>
      <c r="I27" s="24"/>
      <c r="J27" s="14" t="str">
        <f t="shared" si="54"/>
        <v/>
      </c>
      <c r="K27" s="14" t="str">
        <f t="shared" si="55"/>
        <v/>
      </c>
      <c r="L27" s="14" t="str">
        <f t="shared" si="3"/>
        <v/>
      </c>
      <c r="M27" s="14" t="str">
        <f t="shared" si="4"/>
        <v/>
      </c>
      <c r="N27" s="14" t="str">
        <f t="shared" si="5"/>
        <v/>
      </c>
      <c r="O27" s="14" t="str">
        <f t="shared" si="6"/>
        <v/>
      </c>
      <c r="P27" s="14" t="str">
        <f t="shared" si="7"/>
        <v/>
      </c>
      <c r="Q27" s="14" t="str">
        <f t="shared" si="8"/>
        <v/>
      </c>
      <c r="R27" s="14" t="str">
        <f t="shared" si="9"/>
        <v/>
      </c>
      <c r="S27" s="14" t="str">
        <f t="shared" si="10"/>
        <v/>
      </c>
      <c r="T27" s="14" t="str">
        <f t="shared" si="11"/>
        <v/>
      </c>
      <c r="U27" s="14" t="str">
        <f t="shared" si="12"/>
        <v/>
      </c>
      <c r="V27" s="14" t="str">
        <f t="shared" si="13"/>
        <v/>
      </c>
      <c r="W27" s="14" t="str">
        <f t="shared" si="14"/>
        <v/>
      </c>
      <c r="X27" s="14" t="str">
        <f t="shared" si="15"/>
        <v/>
      </c>
      <c r="Y27" s="14" t="str">
        <f t="shared" si="16"/>
        <v/>
      </c>
      <c r="Z27" s="14" t="str">
        <f t="shared" si="17"/>
        <v/>
      </c>
      <c r="AA27" s="14" t="str">
        <f t="shared" si="18"/>
        <v/>
      </c>
      <c r="AB27" s="14" t="str">
        <f t="shared" si="19"/>
        <v/>
      </c>
      <c r="AC27" s="14" t="str">
        <f t="shared" si="20"/>
        <v/>
      </c>
      <c r="AD27" s="14" t="str">
        <f t="shared" si="21"/>
        <v/>
      </c>
      <c r="AE27" s="14" t="str">
        <f t="shared" si="22"/>
        <v/>
      </c>
      <c r="AF27" s="14" t="str">
        <f t="shared" si="23"/>
        <v/>
      </c>
      <c r="AG27" s="14" t="str">
        <f t="shared" si="24"/>
        <v/>
      </c>
      <c r="AH27" s="14" t="str">
        <f t="shared" si="25"/>
        <v/>
      </c>
      <c r="AI27" s="14" t="str">
        <f t="shared" si="26"/>
        <v/>
      </c>
      <c r="AJ27" s="14" t="str">
        <f t="shared" si="27"/>
        <v/>
      </c>
      <c r="AK27" s="14" t="str">
        <f t="shared" si="28"/>
        <v/>
      </c>
      <c r="AL27" s="25" t="str">
        <f t="shared" si="29"/>
        <v>진행 예정</v>
      </c>
      <c r="AM27" s="25" t="str">
        <f t="shared" si="30"/>
        <v>진행 예정</v>
      </c>
      <c r="AN27" s="25" t="str">
        <f t="shared" si="31"/>
        <v>진행 예정</v>
      </c>
      <c r="AO27" s="25" t="str">
        <f t="shared" si="32"/>
        <v>진행 예정</v>
      </c>
      <c r="AP27" s="25" t="str">
        <f t="shared" si="33"/>
        <v>진행 예정</v>
      </c>
      <c r="AQ27" s="14" t="str">
        <f t="shared" si="34"/>
        <v/>
      </c>
      <c r="AR27" s="14" t="str">
        <f t="shared" si="35"/>
        <v/>
      </c>
      <c r="AS27" s="14" t="str">
        <f t="shared" si="36"/>
        <v/>
      </c>
      <c r="AT27" s="14" t="str">
        <f t="shared" si="37"/>
        <v/>
      </c>
      <c r="AU27" s="14" t="str">
        <f t="shared" si="38"/>
        <v/>
      </c>
      <c r="AV27" s="14" t="str">
        <f t="shared" si="39"/>
        <v/>
      </c>
      <c r="AW27" s="14" t="str">
        <f t="shared" si="40"/>
        <v/>
      </c>
      <c r="AX27" s="14" t="str">
        <f t="shared" si="41"/>
        <v/>
      </c>
      <c r="AY27" s="14" t="str">
        <f t="shared" si="42"/>
        <v/>
      </c>
      <c r="AZ27" s="14" t="str">
        <f t="shared" si="43"/>
        <v/>
      </c>
      <c r="BA27" s="14" t="str">
        <f t="shared" si="44"/>
        <v/>
      </c>
      <c r="BB27" s="14" t="str">
        <f t="shared" si="45"/>
        <v/>
      </c>
      <c r="BC27" s="14" t="str">
        <f t="shared" si="46"/>
        <v/>
      </c>
      <c r="BD27" s="14" t="str">
        <f t="shared" si="47"/>
        <v/>
      </c>
      <c r="BE27" s="14" t="str">
        <f t="shared" si="48"/>
        <v/>
      </c>
      <c r="BF27" s="14" t="str">
        <f t="shared" si="49"/>
        <v/>
      </c>
      <c r="BG27" s="14" t="str">
        <f t="shared" si="50"/>
        <v/>
      </c>
      <c r="BH27" s="14" t="str">
        <f t="shared" si="51"/>
        <v/>
      </c>
      <c r="BI27" s="14" t="str">
        <f t="shared" si="52"/>
        <v/>
      </c>
      <c r="BJ27" s="14" t="str">
        <f t="shared" si="53"/>
        <v/>
      </c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 ht="15.75" customHeight="1">
      <c r="A28" s="16" t="s">
        <v>83</v>
      </c>
      <c r="C28" s="43" t="s">
        <v>84</v>
      </c>
      <c r="D28" s="41" t="s">
        <v>85</v>
      </c>
      <c r="E28" s="23" t="s">
        <v>86</v>
      </c>
      <c r="F28" s="23" t="s">
        <v>27</v>
      </c>
      <c r="G28" s="12">
        <v>45845.0</v>
      </c>
      <c r="H28" s="12">
        <v>45849.0</v>
      </c>
      <c r="I28" s="24"/>
      <c r="J28" s="14" t="str">
        <f t="shared" si="54"/>
        <v/>
      </c>
      <c r="K28" s="14" t="str">
        <f t="shared" si="55"/>
        <v/>
      </c>
      <c r="L28" s="14" t="str">
        <f t="shared" si="3"/>
        <v/>
      </c>
      <c r="M28" s="14" t="str">
        <f t="shared" si="4"/>
        <v/>
      </c>
      <c r="N28" s="14" t="str">
        <f t="shared" si="5"/>
        <v/>
      </c>
      <c r="O28" s="14" t="str">
        <f t="shared" si="6"/>
        <v/>
      </c>
      <c r="P28" s="14" t="str">
        <f t="shared" si="7"/>
        <v/>
      </c>
      <c r="Q28" s="25" t="str">
        <f t="shared" si="8"/>
        <v>진행 예정</v>
      </c>
      <c r="R28" s="25" t="str">
        <f t="shared" si="9"/>
        <v>진행 예정</v>
      </c>
      <c r="S28" s="25" t="str">
        <f t="shared" si="10"/>
        <v>진행 예정</v>
      </c>
      <c r="T28" s="25" t="str">
        <f t="shared" si="11"/>
        <v>진행 예정</v>
      </c>
      <c r="U28" s="25" t="str">
        <f t="shared" si="12"/>
        <v>진행 예정</v>
      </c>
      <c r="V28" s="14" t="str">
        <f t="shared" si="13"/>
        <v/>
      </c>
      <c r="W28" s="14" t="str">
        <f t="shared" si="14"/>
        <v/>
      </c>
      <c r="X28" s="14" t="str">
        <f t="shared" si="15"/>
        <v/>
      </c>
      <c r="Y28" s="14" t="str">
        <f t="shared" si="16"/>
        <v/>
      </c>
      <c r="Z28" s="14" t="str">
        <f t="shared" si="17"/>
        <v/>
      </c>
      <c r="AA28" s="14" t="str">
        <f t="shared" si="18"/>
        <v/>
      </c>
      <c r="AB28" s="14" t="str">
        <f t="shared" si="19"/>
        <v/>
      </c>
      <c r="AC28" s="14" t="str">
        <f t="shared" si="20"/>
        <v/>
      </c>
      <c r="AD28" s="14" t="str">
        <f t="shared" si="21"/>
        <v/>
      </c>
      <c r="AE28" s="14" t="str">
        <f t="shared" si="22"/>
        <v/>
      </c>
      <c r="AF28" s="14" t="str">
        <f t="shared" si="23"/>
        <v/>
      </c>
      <c r="AG28" s="14" t="str">
        <f t="shared" si="24"/>
        <v/>
      </c>
      <c r="AH28" s="14" t="str">
        <f t="shared" si="25"/>
        <v/>
      </c>
      <c r="AI28" s="14" t="str">
        <f t="shared" si="26"/>
        <v/>
      </c>
      <c r="AJ28" s="14" t="str">
        <f t="shared" si="27"/>
        <v/>
      </c>
      <c r="AK28" s="14" t="str">
        <f t="shared" si="28"/>
        <v/>
      </c>
      <c r="AL28" s="14" t="str">
        <f t="shared" si="29"/>
        <v/>
      </c>
      <c r="AM28" s="14" t="str">
        <f t="shared" si="30"/>
        <v/>
      </c>
      <c r="AN28" s="14" t="str">
        <f t="shared" si="31"/>
        <v/>
      </c>
      <c r="AO28" s="14" t="str">
        <f t="shared" si="32"/>
        <v/>
      </c>
      <c r="AP28" s="14" t="str">
        <f t="shared" si="33"/>
        <v/>
      </c>
      <c r="AQ28" s="14" t="str">
        <f t="shared" si="34"/>
        <v/>
      </c>
      <c r="AR28" s="14" t="str">
        <f t="shared" si="35"/>
        <v/>
      </c>
      <c r="AS28" s="14" t="str">
        <f t="shared" si="36"/>
        <v/>
      </c>
      <c r="AT28" s="14" t="str">
        <f t="shared" si="37"/>
        <v/>
      </c>
      <c r="AU28" s="14" t="str">
        <f t="shared" si="38"/>
        <v/>
      </c>
      <c r="AV28" s="14" t="str">
        <f t="shared" si="39"/>
        <v/>
      </c>
      <c r="AW28" s="14" t="str">
        <f t="shared" si="40"/>
        <v/>
      </c>
      <c r="AX28" s="14" t="str">
        <f t="shared" si="41"/>
        <v/>
      </c>
      <c r="AY28" s="14" t="str">
        <f t="shared" si="42"/>
        <v/>
      </c>
      <c r="AZ28" s="14" t="str">
        <f t="shared" si="43"/>
        <v/>
      </c>
      <c r="BA28" s="14" t="str">
        <f t="shared" si="44"/>
        <v/>
      </c>
      <c r="BB28" s="14" t="str">
        <f t="shared" si="45"/>
        <v/>
      </c>
      <c r="BC28" s="14" t="str">
        <f t="shared" si="46"/>
        <v/>
      </c>
      <c r="BD28" s="14" t="str">
        <f t="shared" si="47"/>
        <v/>
      </c>
      <c r="BE28" s="14" t="str">
        <f t="shared" si="48"/>
        <v/>
      </c>
      <c r="BF28" s="14" t="str">
        <f t="shared" si="49"/>
        <v/>
      </c>
      <c r="BG28" s="14" t="str">
        <f t="shared" si="50"/>
        <v/>
      </c>
      <c r="BH28" s="14" t="str">
        <f t="shared" si="51"/>
        <v/>
      </c>
      <c r="BI28" s="14" t="str">
        <f t="shared" si="52"/>
        <v/>
      </c>
      <c r="BJ28" s="14" t="str">
        <f t="shared" si="53"/>
        <v/>
      </c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 ht="15.75" customHeight="1">
      <c r="A29" s="16" t="s">
        <v>87</v>
      </c>
      <c r="C29" s="40"/>
      <c r="D29" s="41" t="s">
        <v>88</v>
      </c>
      <c r="E29" s="23" t="s">
        <v>86</v>
      </c>
      <c r="F29" s="23" t="s">
        <v>27</v>
      </c>
      <c r="G29" s="12">
        <v>45845.0</v>
      </c>
      <c r="H29" s="12">
        <v>45849.0</v>
      </c>
      <c r="I29" s="24"/>
      <c r="J29" s="14" t="str">
        <f t="shared" si="54"/>
        <v/>
      </c>
      <c r="K29" s="14" t="str">
        <f t="shared" si="55"/>
        <v/>
      </c>
      <c r="L29" s="14" t="str">
        <f t="shared" si="3"/>
        <v/>
      </c>
      <c r="M29" s="14" t="str">
        <f t="shared" si="4"/>
        <v/>
      </c>
      <c r="N29" s="14" t="str">
        <f t="shared" si="5"/>
        <v/>
      </c>
      <c r="O29" s="14" t="str">
        <f t="shared" si="6"/>
        <v/>
      </c>
      <c r="P29" s="14" t="str">
        <f t="shared" si="7"/>
        <v/>
      </c>
      <c r="Q29" s="25" t="str">
        <f t="shared" si="8"/>
        <v>진행 예정</v>
      </c>
      <c r="R29" s="25" t="str">
        <f t="shared" si="9"/>
        <v>진행 예정</v>
      </c>
      <c r="S29" s="25" t="str">
        <f t="shared" si="10"/>
        <v>진행 예정</v>
      </c>
      <c r="T29" s="25" t="str">
        <f t="shared" si="11"/>
        <v>진행 예정</v>
      </c>
      <c r="U29" s="25" t="str">
        <f t="shared" si="12"/>
        <v>진행 예정</v>
      </c>
      <c r="V29" s="14" t="str">
        <f t="shared" si="13"/>
        <v/>
      </c>
      <c r="W29" s="14" t="str">
        <f t="shared" si="14"/>
        <v/>
      </c>
      <c r="X29" s="14" t="str">
        <f t="shared" si="15"/>
        <v/>
      </c>
      <c r="Y29" s="14" t="str">
        <f t="shared" si="16"/>
        <v/>
      </c>
      <c r="Z29" s="14" t="str">
        <f t="shared" si="17"/>
        <v/>
      </c>
      <c r="AA29" s="14" t="str">
        <f t="shared" si="18"/>
        <v/>
      </c>
      <c r="AB29" s="14" t="str">
        <f t="shared" si="19"/>
        <v/>
      </c>
      <c r="AC29" s="14" t="str">
        <f t="shared" si="20"/>
        <v/>
      </c>
      <c r="AD29" s="14" t="str">
        <f t="shared" si="21"/>
        <v/>
      </c>
      <c r="AE29" s="14" t="str">
        <f t="shared" si="22"/>
        <v/>
      </c>
      <c r="AF29" s="14" t="str">
        <f t="shared" si="23"/>
        <v/>
      </c>
      <c r="AG29" s="14" t="str">
        <f t="shared" si="24"/>
        <v/>
      </c>
      <c r="AH29" s="14" t="str">
        <f t="shared" si="25"/>
        <v/>
      </c>
      <c r="AI29" s="14" t="str">
        <f t="shared" si="26"/>
        <v/>
      </c>
      <c r="AJ29" s="14" t="str">
        <f t="shared" si="27"/>
        <v/>
      </c>
      <c r="AK29" s="14" t="str">
        <f t="shared" si="28"/>
        <v/>
      </c>
      <c r="AL29" s="14" t="str">
        <f t="shared" si="29"/>
        <v/>
      </c>
      <c r="AM29" s="14" t="str">
        <f t="shared" si="30"/>
        <v/>
      </c>
      <c r="AN29" s="14" t="str">
        <f t="shared" si="31"/>
        <v/>
      </c>
      <c r="AO29" s="14" t="str">
        <f t="shared" si="32"/>
        <v/>
      </c>
      <c r="AP29" s="14" t="str">
        <f t="shared" si="33"/>
        <v/>
      </c>
      <c r="AQ29" s="14" t="str">
        <f t="shared" si="34"/>
        <v/>
      </c>
      <c r="AR29" s="14" t="str">
        <f t="shared" si="35"/>
        <v/>
      </c>
      <c r="AS29" s="14" t="str">
        <f t="shared" si="36"/>
        <v/>
      </c>
      <c r="AT29" s="14" t="str">
        <f t="shared" si="37"/>
        <v/>
      </c>
      <c r="AU29" s="14" t="str">
        <f t="shared" si="38"/>
        <v/>
      </c>
      <c r="AV29" s="14" t="str">
        <f t="shared" si="39"/>
        <v/>
      </c>
      <c r="AW29" s="14" t="str">
        <f t="shared" si="40"/>
        <v/>
      </c>
      <c r="AX29" s="14" t="str">
        <f t="shared" si="41"/>
        <v/>
      </c>
      <c r="AY29" s="14" t="str">
        <f t="shared" si="42"/>
        <v/>
      </c>
      <c r="AZ29" s="14" t="str">
        <f t="shared" si="43"/>
        <v/>
      </c>
      <c r="BA29" s="14" t="str">
        <f t="shared" si="44"/>
        <v/>
      </c>
      <c r="BB29" s="14" t="str">
        <f t="shared" si="45"/>
        <v/>
      </c>
      <c r="BC29" s="14" t="str">
        <f t="shared" si="46"/>
        <v/>
      </c>
      <c r="BD29" s="14" t="str">
        <f t="shared" si="47"/>
        <v/>
      </c>
      <c r="BE29" s="14" t="str">
        <f t="shared" si="48"/>
        <v/>
      </c>
      <c r="BF29" s="14" t="str">
        <f t="shared" si="49"/>
        <v/>
      </c>
      <c r="BG29" s="14" t="str">
        <f t="shared" si="50"/>
        <v/>
      </c>
      <c r="BH29" s="14" t="str">
        <f t="shared" si="51"/>
        <v/>
      </c>
      <c r="BI29" s="14" t="str">
        <f t="shared" si="52"/>
        <v/>
      </c>
      <c r="BJ29" s="14" t="str">
        <f t="shared" si="53"/>
        <v/>
      </c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ht="15.75" customHeight="1">
      <c r="A30" s="16" t="s">
        <v>89</v>
      </c>
      <c r="C30" s="42"/>
      <c r="D30" s="41" t="s">
        <v>90</v>
      </c>
      <c r="E30" s="23" t="s">
        <v>86</v>
      </c>
      <c r="F30" s="23" t="s">
        <v>27</v>
      </c>
      <c r="G30" s="12">
        <v>45845.0</v>
      </c>
      <c r="H30" s="12">
        <v>45849.0</v>
      </c>
      <c r="I30" s="24"/>
      <c r="J30" s="14" t="str">
        <f t="shared" si="54"/>
        <v/>
      </c>
      <c r="K30" s="14" t="str">
        <f t="shared" si="55"/>
        <v/>
      </c>
      <c r="L30" s="14" t="str">
        <f t="shared" si="3"/>
        <v/>
      </c>
      <c r="M30" s="14" t="str">
        <f t="shared" si="4"/>
        <v/>
      </c>
      <c r="N30" s="14" t="str">
        <f t="shared" si="5"/>
        <v/>
      </c>
      <c r="O30" s="14" t="str">
        <f t="shared" si="6"/>
        <v/>
      </c>
      <c r="P30" s="14" t="str">
        <f t="shared" si="7"/>
        <v/>
      </c>
      <c r="Q30" s="25" t="str">
        <f t="shared" si="8"/>
        <v>진행 예정</v>
      </c>
      <c r="R30" s="25" t="str">
        <f t="shared" si="9"/>
        <v>진행 예정</v>
      </c>
      <c r="S30" s="25" t="str">
        <f t="shared" si="10"/>
        <v>진행 예정</v>
      </c>
      <c r="T30" s="25" t="str">
        <f t="shared" si="11"/>
        <v>진행 예정</v>
      </c>
      <c r="U30" s="25" t="str">
        <f t="shared" si="12"/>
        <v>진행 예정</v>
      </c>
      <c r="V30" s="14" t="str">
        <f t="shared" si="13"/>
        <v/>
      </c>
      <c r="W30" s="14" t="str">
        <f t="shared" si="14"/>
        <v/>
      </c>
      <c r="X30" s="14" t="str">
        <f t="shared" si="15"/>
        <v/>
      </c>
      <c r="Y30" s="14" t="str">
        <f t="shared" si="16"/>
        <v/>
      </c>
      <c r="Z30" s="14" t="str">
        <f t="shared" si="17"/>
        <v/>
      </c>
      <c r="AA30" s="14" t="str">
        <f t="shared" si="18"/>
        <v/>
      </c>
      <c r="AB30" s="14" t="str">
        <f t="shared" si="19"/>
        <v/>
      </c>
      <c r="AC30" s="14" t="str">
        <f t="shared" si="20"/>
        <v/>
      </c>
      <c r="AD30" s="14" t="str">
        <f t="shared" si="21"/>
        <v/>
      </c>
      <c r="AE30" s="14" t="str">
        <f t="shared" si="22"/>
        <v/>
      </c>
      <c r="AF30" s="14" t="str">
        <f t="shared" si="23"/>
        <v/>
      </c>
      <c r="AG30" s="14" t="str">
        <f t="shared" si="24"/>
        <v/>
      </c>
      <c r="AH30" s="14" t="str">
        <f t="shared" si="25"/>
        <v/>
      </c>
      <c r="AI30" s="14" t="str">
        <f t="shared" si="26"/>
        <v/>
      </c>
      <c r="AJ30" s="14" t="str">
        <f t="shared" si="27"/>
        <v/>
      </c>
      <c r="AK30" s="14" t="str">
        <f t="shared" si="28"/>
        <v/>
      </c>
      <c r="AL30" s="14" t="str">
        <f t="shared" si="29"/>
        <v/>
      </c>
      <c r="AM30" s="14" t="str">
        <f t="shared" si="30"/>
        <v/>
      </c>
      <c r="AN30" s="14" t="str">
        <f t="shared" si="31"/>
        <v/>
      </c>
      <c r="AO30" s="14" t="str">
        <f t="shared" si="32"/>
        <v/>
      </c>
      <c r="AP30" s="14" t="str">
        <f t="shared" si="33"/>
        <v/>
      </c>
      <c r="AQ30" s="14" t="str">
        <f t="shared" si="34"/>
        <v/>
      </c>
      <c r="AR30" s="14" t="str">
        <f t="shared" si="35"/>
        <v/>
      </c>
      <c r="AS30" s="14" t="str">
        <f t="shared" si="36"/>
        <v/>
      </c>
      <c r="AT30" s="14" t="str">
        <f t="shared" si="37"/>
        <v/>
      </c>
      <c r="AU30" s="14" t="str">
        <f t="shared" si="38"/>
        <v/>
      </c>
      <c r="AV30" s="14" t="str">
        <f t="shared" si="39"/>
        <v/>
      </c>
      <c r="AW30" s="14" t="str">
        <f t="shared" si="40"/>
        <v/>
      </c>
      <c r="AX30" s="14" t="str">
        <f t="shared" si="41"/>
        <v/>
      </c>
      <c r="AY30" s="14" t="str">
        <f t="shared" si="42"/>
        <v/>
      </c>
      <c r="AZ30" s="14" t="str">
        <f t="shared" si="43"/>
        <v/>
      </c>
      <c r="BA30" s="14" t="str">
        <f t="shared" si="44"/>
        <v/>
      </c>
      <c r="BB30" s="14" t="str">
        <f t="shared" si="45"/>
        <v/>
      </c>
      <c r="BC30" s="14" t="str">
        <f t="shared" si="46"/>
        <v/>
      </c>
      <c r="BD30" s="14" t="str">
        <f t="shared" si="47"/>
        <v/>
      </c>
      <c r="BE30" s="14" t="str">
        <f t="shared" si="48"/>
        <v/>
      </c>
      <c r="BF30" s="14" t="str">
        <f t="shared" si="49"/>
        <v/>
      </c>
      <c r="BG30" s="14" t="str">
        <f t="shared" si="50"/>
        <v/>
      </c>
      <c r="BH30" s="14" t="str">
        <f t="shared" si="51"/>
        <v/>
      </c>
      <c r="BI30" s="14" t="str">
        <f t="shared" si="52"/>
        <v/>
      </c>
      <c r="BJ30" s="14" t="str">
        <f t="shared" si="53"/>
        <v/>
      </c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ht="15.75" customHeight="1">
      <c r="A31" s="16" t="s">
        <v>91</v>
      </c>
      <c r="C31" s="43" t="s">
        <v>92</v>
      </c>
      <c r="D31" s="41" t="s">
        <v>93</v>
      </c>
      <c r="E31" s="23" t="s">
        <v>73</v>
      </c>
      <c r="F31" s="23" t="s">
        <v>27</v>
      </c>
      <c r="G31" s="12">
        <v>45845.0</v>
      </c>
      <c r="H31" s="12">
        <v>45849.0</v>
      </c>
      <c r="I31" s="24"/>
      <c r="J31" s="14" t="str">
        <f t="shared" si="54"/>
        <v/>
      </c>
      <c r="K31" s="14" t="str">
        <f t="shared" si="55"/>
        <v/>
      </c>
      <c r="L31" s="14" t="str">
        <f t="shared" si="3"/>
        <v/>
      </c>
      <c r="M31" s="14" t="str">
        <f t="shared" si="4"/>
        <v/>
      </c>
      <c r="N31" s="14" t="str">
        <f t="shared" si="5"/>
        <v/>
      </c>
      <c r="O31" s="14" t="str">
        <f t="shared" si="6"/>
        <v/>
      </c>
      <c r="P31" s="14" t="str">
        <f t="shared" si="7"/>
        <v/>
      </c>
      <c r="Q31" s="25" t="str">
        <f t="shared" si="8"/>
        <v>진행 예정</v>
      </c>
      <c r="R31" s="25" t="str">
        <f t="shared" si="9"/>
        <v>진행 예정</v>
      </c>
      <c r="S31" s="25" t="str">
        <f t="shared" si="10"/>
        <v>진행 예정</v>
      </c>
      <c r="T31" s="25" t="str">
        <f t="shared" si="11"/>
        <v>진행 예정</v>
      </c>
      <c r="U31" s="25" t="str">
        <f t="shared" si="12"/>
        <v>진행 예정</v>
      </c>
      <c r="V31" s="14" t="str">
        <f t="shared" si="13"/>
        <v/>
      </c>
      <c r="W31" s="14" t="str">
        <f t="shared" si="14"/>
        <v/>
      </c>
      <c r="X31" s="14" t="str">
        <f t="shared" si="15"/>
        <v/>
      </c>
      <c r="Y31" s="14" t="str">
        <f t="shared" si="16"/>
        <v/>
      </c>
      <c r="Z31" s="14" t="str">
        <f t="shared" si="17"/>
        <v/>
      </c>
      <c r="AA31" s="14" t="str">
        <f t="shared" si="18"/>
        <v/>
      </c>
      <c r="AB31" s="14" t="str">
        <f t="shared" si="19"/>
        <v/>
      </c>
      <c r="AC31" s="14" t="str">
        <f t="shared" si="20"/>
        <v/>
      </c>
      <c r="AD31" s="14" t="str">
        <f t="shared" si="21"/>
        <v/>
      </c>
      <c r="AE31" s="14" t="str">
        <f t="shared" si="22"/>
        <v/>
      </c>
      <c r="AF31" s="14" t="str">
        <f t="shared" si="23"/>
        <v/>
      </c>
      <c r="AG31" s="14" t="str">
        <f t="shared" si="24"/>
        <v/>
      </c>
      <c r="AH31" s="14" t="str">
        <f t="shared" si="25"/>
        <v/>
      </c>
      <c r="AI31" s="14" t="str">
        <f t="shared" si="26"/>
        <v/>
      </c>
      <c r="AJ31" s="14" t="str">
        <f t="shared" si="27"/>
        <v/>
      </c>
      <c r="AK31" s="14" t="str">
        <f t="shared" si="28"/>
        <v/>
      </c>
      <c r="AL31" s="14" t="str">
        <f t="shared" si="29"/>
        <v/>
      </c>
      <c r="AM31" s="14" t="str">
        <f t="shared" si="30"/>
        <v/>
      </c>
      <c r="AN31" s="14" t="str">
        <f t="shared" si="31"/>
        <v/>
      </c>
      <c r="AO31" s="14" t="str">
        <f t="shared" si="32"/>
        <v/>
      </c>
      <c r="AP31" s="14" t="str">
        <f t="shared" si="33"/>
        <v/>
      </c>
      <c r="AQ31" s="14" t="str">
        <f t="shared" si="34"/>
        <v/>
      </c>
      <c r="AR31" s="14" t="str">
        <f t="shared" si="35"/>
        <v/>
      </c>
      <c r="AS31" s="14" t="str">
        <f t="shared" si="36"/>
        <v/>
      </c>
      <c r="AT31" s="14" t="str">
        <f t="shared" si="37"/>
        <v/>
      </c>
      <c r="AU31" s="14" t="str">
        <f t="shared" si="38"/>
        <v/>
      </c>
      <c r="AV31" s="14" t="str">
        <f t="shared" si="39"/>
        <v/>
      </c>
      <c r="AW31" s="14" t="str">
        <f t="shared" si="40"/>
        <v/>
      </c>
      <c r="AX31" s="14" t="str">
        <f t="shared" si="41"/>
        <v/>
      </c>
      <c r="AY31" s="14" t="str">
        <f t="shared" si="42"/>
        <v/>
      </c>
      <c r="AZ31" s="14" t="str">
        <f t="shared" si="43"/>
        <v/>
      </c>
      <c r="BA31" s="14" t="str">
        <f t="shared" si="44"/>
        <v/>
      </c>
      <c r="BB31" s="14" t="str">
        <f t="shared" si="45"/>
        <v/>
      </c>
      <c r="BC31" s="14" t="str">
        <f t="shared" si="46"/>
        <v/>
      </c>
      <c r="BD31" s="14" t="str">
        <f t="shared" si="47"/>
        <v/>
      </c>
      <c r="BE31" s="14" t="str">
        <f t="shared" si="48"/>
        <v/>
      </c>
      <c r="BF31" s="14" t="str">
        <f t="shared" si="49"/>
        <v/>
      </c>
      <c r="BG31" s="14" t="str">
        <f t="shared" si="50"/>
        <v/>
      </c>
      <c r="BH31" s="14" t="str">
        <f t="shared" si="51"/>
        <v/>
      </c>
      <c r="BI31" s="14" t="str">
        <f t="shared" si="52"/>
        <v/>
      </c>
      <c r="BJ31" s="14" t="str">
        <f t="shared" si="53"/>
        <v/>
      </c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ht="15.75" customHeight="1">
      <c r="A32" s="16" t="s">
        <v>94</v>
      </c>
      <c r="C32" s="40"/>
      <c r="D32" s="41" t="s">
        <v>95</v>
      </c>
      <c r="E32" s="23" t="s">
        <v>73</v>
      </c>
      <c r="F32" s="23" t="s">
        <v>27</v>
      </c>
      <c r="G32" s="12">
        <v>45859.0</v>
      </c>
      <c r="H32" s="12">
        <v>45863.0</v>
      </c>
      <c r="I32" s="24"/>
      <c r="J32" s="14" t="str">
        <f t="shared" si="54"/>
        <v/>
      </c>
      <c r="K32" s="14" t="str">
        <f t="shared" si="55"/>
        <v/>
      </c>
      <c r="L32" s="14" t="str">
        <f t="shared" si="3"/>
        <v/>
      </c>
      <c r="M32" s="14" t="str">
        <f t="shared" si="4"/>
        <v/>
      </c>
      <c r="N32" s="14" t="str">
        <f t="shared" si="5"/>
        <v/>
      </c>
      <c r="O32" s="14" t="str">
        <f t="shared" si="6"/>
        <v/>
      </c>
      <c r="P32" s="14" t="str">
        <f t="shared" si="7"/>
        <v/>
      </c>
      <c r="Q32" s="14" t="str">
        <f t="shared" si="8"/>
        <v/>
      </c>
      <c r="R32" s="14" t="str">
        <f t="shared" si="9"/>
        <v/>
      </c>
      <c r="S32" s="14" t="str">
        <f t="shared" si="10"/>
        <v/>
      </c>
      <c r="T32" s="14" t="str">
        <f t="shared" si="11"/>
        <v/>
      </c>
      <c r="U32" s="14" t="str">
        <f t="shared" si="12"/>
        <v/>
      </c>
      <c r="V32" s="14" t="str">
        <f t="shared" si="13"/>
        <v/>
      </c>
      <c r="W32" s="14" t="str">
        <f t="shared" si="14"/>
        <v/>
      </c>
      <c r="X32" s="14" t="str">
        <f t="shared" si="15"/>
        <v/>
      </c>
      <c r="Y32" s="14" t="str">
        <f t="shared" si="16"/>
        <v/>
      </c>
      <c r="Z32" s="14" t="str">
        <f t="shared" si="17"/>
        <v/>
      </c>
      <c r="AA32" s="14" t="str">
        <f t="shared" si="18"/>
        <v/>
      </c>
      <c r="AB32" s="14" t="str">
        <f t="shared" si="19"/>
        <v/>
      </c>
      <c r="AC32" s="14" t="str">
        <f t="shared" si="20"/>
        <v/>
      </c>
      <c r="AD32" s="14" t="str">
        <f t="shared" si="21"/>
        <v/>
      </c>
      <c r="AE32" s="25" t="str">
        <f t="shared" si="22"/>
        <v>진행 예정</v>
      </c>
      <c r="AF32" s="25" t="str">
        <f t="shared" si="23"/>
        <v>진행 예정</v>
      </c>
      <c r="AG32" s="25" t="str">
        <f t="shared" si="24"/>
        <v>진행 예정</v>
      </c>
      <c r="AH32" s="25" t="str">
        <f t="shared" si="25"/>
        <v>진행 예정</v>
      </c>
      <c r="AI32" s="25" t="str">
        <f t="shared" si="26"/>
        <v>진행 예정</v>
      </c>
      <c r="AJ32" s="14" t="str">
        <f t="shared" si="27"/>
        <v/>
      </c>
      <c r="AK32" s="14" t="str">
        <f t="shared" si="28"/>
        <v/>
      </c>
      <c r="AL32" s="14" t="str">
        <f t="shared" si="29"/>
        <v/>
      </c>
      <c r="AM32" s="14" t="str">
        <f t="shared" si="30"/>
        <v/>
      </c>
      <c r="AN32" s="14" t="str">
        <f t="shared" si="31"/>
        <v/>
      </c>
      <c r="AO32" s="14" t="str">
        <f t="shared" si="32"/>
        <v/>
      </c>
      <c r="AP32" s="14" t="str">
        <f t="shared" si="33"/>
        <v/>
      </c>
      <c r="AQ32" s="14" t="str">
        <f t="shared" si="34"/>
        <v/>
      </c>
      <c r="AR32" s="14" t="str">
        <f t="shared" si="35"/>
        <v/>
      </c>
      <c r="AS32" s="14" t="str">
        <f t="shared" si="36"/>
        <v/>
      </c>
      <c r="AT32" s="14" t="str">
        <f t="shared" si="37"/>
        <v/>
      </c>
      <c r="AU32" s="14" t="str">
        <f t="shared" si="38"/>
        <v/>
      </c>
      <c r="AV32" s="14" t="str">
        <f t="shared" si="39"/>
        <v/>
      </c>
      <c r="AW32" s="14" t="str">
        <f t="shared" si="40"/>
        <v/>
      </c>
      <c r="AX32" s="14" t="str">
        <f t="shared" si="41"/>
        <v/>
      </c>
      <c r="AY32" s="14" t="str">
        <f t="shared" si="42"/>
        <v/>
      </c>
      <c r="AZ32" s="14" t="str">
        <f t="shared" si="43"/>
        <v/>
      </c>
      <c r="BA32" s="14" t="str">
        <f t="shared" si="44"/>
        <v/>
      </c>
      <c r="BB32" s="14" t="str">
        <f t="shared" si="45"/>
        <v/>
      </c>
      <c r="BC32" s="14" t="str">
        <f t="shared" si="46"/>
        <v/>
      </c>
      <c r="BD32" s="14" t="str">
        <f t="shared" si="47"/>
        <v/>
      </c>
      <c r="BE32" s="14" t="str">
        <f t="shared" si="48"/>
        <v/>
      </c>
      <c r="BF32" s="14" t="str">
        <f t="shared" si="49"/>
        <v/>
      </c>
      <c r="BG32" s="14" t="str">
        <f t="shared" si="50"/>
        <v/>
      </c>
      <c r="BH32" s="14" t="str">
        <f t="shared" si="51"/>
        <v/>
      </c>
      <c r="BI32" s="14" t="str">
        <f t="shared" si="52"/>
        <v/>
      </c>
      <c r="BJ32" s="14" t="str">
        <f t="shared" si="53"/>
        <v/>
      </c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 ht="15.75" customHeight="1">
      <c r="A33" s="16" t="s">
        <v>96</v>
      </c>
      <c r="C33" s="40"/>
      <c r="D33" s="41" t="s">
        <v>97</v>
      </c>
      <c r="E33" s="23" t="s">
        <v>73</v>
      </c>
      <c r="F33" s="23" t="s">
        <v>27</v>
      </c>
      <c r="G33" s="12">
        <v>45859.0</v>
      </c>
      <c r="H33" s="12">
        <v>45863.0</v>
      </c>
      <c r="I33" s="24"/>
      <c r="J33" s="14" t="str">
        <f t="shared" si="54"/>
        <v/>
      </c>
      <c r="K33" s="14" t="str">
        <f t="shared" si="55"/>
        <v/>
      </c>
      <c r="L33" s="14" t="str">
        <f t="shared" si="3"/>
        <v/>
      </c>
      <c r="M33" s="14" t="str">
        <f t="shared" si="4"/>
        <v/>
      </c>
      <c r="N33" s="14" t="str">
        <f t="shared" si="5"/>
        <v/>
      </c>
      <c r="O33" s="14" t="str">
        <f t="shared" si="6"/>
        <v/>
      </c>
      <c r="P33" s="14" t="str">
        <f t="shared" si="7"/>
        <v/>
      </c>
      <c r="Q33" s="14" t="str">
        <f t="shared" si="8"/>
        <v/>
      </c>
      <c r="R33" s="14" t="str">
        <f t="shared" si="9"/>
        <v/>
      </c>
      <c r="S33" s="14" t="str">
        <f t="shared" si="10"/>
        <v/>
      </c>
      <c r="T33" s="14" t="str">
        <f t="shared" si="11"/>
        <v/>
      </c>
      <c r="U33" s="14" t="str">
        <f t="shared" si="12"/>
        <v/>
      </c>
      <c r="V33" s="14" t="str">
        <f t="shared" si="13"/>
        <v/>
      </c>
      <c r="W33" s="14" t="str">
        <f t="shared" si="14"/>
        <v/>
      </c>
      <c r="X33" s="14" t="str">
        <f t="shared" si="15"/>
        <v/>
      </c>
      <c r="Y33" s="14" t="str">
        <f t="shared" si="16"/>
        <v/>
      </c>
      <c r="Z33" s="14" t="str">
        <f t="shared" si="17"/>
        <v/>
      </c>
      <c r="AA33" s="14" t="str">
        <f t="shared" si="18"/>
        <v/>
      </c>
      <c r="AB33" s="14" t="str">
        <f t="shared" si="19"/>
        <v/>
      </c>
      <c r="AC33" s="14" t="str">
        <f t="shared" si="20"/>
        <v/>
      </c>
      <c r="AD33" s="14" t="str">
        <f t="shared" si="21"/>
        <v/>
      </c>
      <c r="AE33" s="25" t="str">
        <f t="shared" si="22"/>
        <v>진행 예정</v>
      </c>
      <c r="AF33" s="25" t="str">
        <f t="shared" si="23"/>
        <v>진행 예정</v>
      </c>
      <c r="AG33" s="25" t="str">
        <f t="shared" si="24"/>
        <v>진행 예정</v>
      </c>
      <c r="AH33" s="25" t="str">
        <f t="shared" si="25"/>
        <v>진행 예정</v>
      </c>
      <c r="AI33" s="25" t="str">
        <f t="shared" si="26"/>
        <v>진행 예정</v>
      </c>
      <c r="AJ33" s="14" t="str">
        <f t="shared" si="27"/>
        <v/>
      </c>
      <c r="AK33" s="14" t="str">
        <f t="shared" si="28"/>
        <v/>
      </c>
      <c r="AL33" s="14" t="str">
        <f t="shared" si="29"/>
        <v/>
      </c>
      <c r="AM33" s="14" t="str">
        <f t="shared" si="30"/>
        <v/>
      </c>
      <c r="AN33" s="14" t="str">
        <f t="shared" si="31"/>
        <v/>
      </c>
      <c r="AO33" s="14" t="str">
        <f t="shared" si="32"/>
        <v/>
      </c>
      <c r="AP33" s="14" t="str">
        <f t="shared" si="33"/>
        <v/>
      </c>
      <c r="AQ33" s="14" t="str">
        <f t="shared" si="34"/>
        <v/>
      </c>
      <c r="AR33" s="14" t="str">
        <f t="shared" si="35"/>
        <v/>
      </c>
      <c r="AS33" s="14" t="str">
        <f t="shared" si="36"/>
        <v/>
      </c>
      <c r="AT33" s="14" t="str">
        <f t="shared" si="37"/>
        <v/>
      </c>
      <c r="AU33" s="14" t="str">
        <f t="shared" si="38"/>
        <v/>
      </c>
      <c r="AV33" s="14" t="str">
        <f t="shared" si="39"/>
        <v/>
      </c>
      <c r="AW33" s="14" t="str">
        <f t="shared" si="40"/>
        <v/>
      </c>
      <c r="AX33" s="14" t="str">
        <f t="shared" si="41"/>
        <v/>
      </c>
      <c r="AY33" s="14" t="str">
        <f t="shared" si="42"/>
        <v/>
      </c>
      <c r="AZ33" s="14" t="str">
        <f t="shared" si="43"/>
        <v/>
      </c>
      <c r="BA33" s="14" t="str">
        <f t="shared" si="44"/>
        <v/>
      </c>
      <c r="BB33" s="14" t="str">
        <f t="shared" si="45"/>
        <v/>
      </c>
      <c r="BC33" s="14" t="str">
        <f t="shared" si="46"/>
        <v/>
      </c>
      <c r="BD33" s="14" t="str">
        <f t="shared" si="47"/>
        <v/>
      </c>
      <c r="BE33" s="14" t="str">
        <f t="shared" si="48"/>
        <v/>
      </c>
      <c r="BF33" s="14" t="str">
        <f t="shared" si="49"/>
        <v/>
      </c>
      <c r="BG33" s="14" t="str">
        <f t="shared" si="50"/>
        <v/>
      </c>
      <c r="BH33" s="14" t="str">
        <f t="shared" si="51"/>
        <v/>
      </c>
      <c r="BI33" s="14" t="str">
        <f t="shared" si="52"/>
        <v/>
      </c>
      <c r="BJ33" s="14" t="str">
        <f t="shared" si="53"/>
        <v/>
      </c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ht="15.75" customHeight="1">
      <c r="A34" s="16" t="s">
        <v>98</v>
      </c>
      <c r="C34" s="42"/>
      <c r="D34" s="41" t="s">
        <v>99</v>
      </c>
      <c r="E34" s="23" t="s">
        <v>73</v>
      </c>
      <c r="F34" s="23" t="s">
        <v>27</v>
      </c>
      <c r="G34" s="12">
        <v>45859.0</v>
      </c>
      <c r="H34" s="12">
        <v>45863.0</v>
      </c>
      <c r="I34" s="24"/>
      <c r="J34" s="14" t="str">
        <f t="shared" si="54"/>
        <v/>
      </c>
      <c r="K34" s="14" t="str">
        <f t="shared" si="55"/>
        <v/>
      </c>
      <c r="L34" s="14" t="str">
        <f t="shared" si="3"/>
        <v/>
      </c>
      <c r="M34" s="14" t="str">
        <f t="shared" si="4"/>
        <v/>
      </c>
      <c r="N34" s="14" t="str">
        <f t="shared" si="5"/>
        <v/>
      </c>
      <c r="O34" s="14" t="str">
        <f t="shared" si="6"/>
        <v/>
      </c>
      <c r="P34" s="14" t="str">
        <f t="shared" si="7"/>
        <v/>
      </c>
      <c r="Q34" s="14" t="str">
        <f t="shared" si="8"/>
        <v/>
      </c>
      <c r="R34" s="14" t="str">
        <f t="shared" si="9"/>
        <v/>
      </c>
      <c r="S34" s="14" t="str">
        <f t="shared" si="10"/>
        <v/>
      </c>
      <c r="T34" s="14" t="str">
        <f t="shared" si="11"/>
        <v/>
      </c>
      <c r="U34" s="14" t="str">
        <f t="shared" si="12"/>
        <v/>
      </c>
      <c r="V34" s="14" t="str">
        <f t="shared" si="13"/>
        <v/>
      </c>
      <c r="W34" s="14" t="str">
        <f t="shared" si="14"/>
        <v/>
      </c>
      <c r="X34" s="14" t="str">
        <f t="shared" si="15"/>
        <v/>
      </c>
      <c r="Y34" s="14" t="str">
        <f t="shared" si="16"/>
        <v/>
      </c>
      <c r="Z34" s="14" t="str">
        <f t="shared" si="17"/>
        <v/>
      </c>
      <c r="AA34" s="14" t="str">
        <f t="shared" si="18"/>
        <v/>
      </c>
      <c r="AB34" s="14" t="str">
        <f t="shared" si="19"/>
        <v/>
      </c>
      <c r="AC34" s="14" t="str">
        <f t="shared" si="20"/>
        <v/>
      </c>
      <c r="AD34" s="14" t="str">
        <f t="shared" si="21"/>
        <v/>
      </c>
      <c r="AE34" s="25" t="str">
        <f t="shared" si="22"/>
        <v>진행 예정</v>
      </c>
      <c r="AF34" s="25" t="str">
        <f t="shared" si="23"/>
        <v>진행 예정</v>
      </c>
      <c r="AG34" s="25" t="str">
        <f t="shared" si="24"/>
        <v>진행 예정</v>
      </c>
      <c r="AH34" s="25" t="str">
        <f t="shared" si="25"/>
        <v>진행 예정</v>
      </c>
      <c r="AI34" s="25" t="str">
        <f t="shared" si="26"/>
        <v>진행 예정</v>
      </c>
      <c r="AJ34" s="14" t="str">
        <f t="shared" si="27"/>
        <v/>
      </c>
      <c r="AK34" s="14" t="str">
        <f t="shared" si="28"/>
        <v/>
      </c>
      <c r="AL34" s="14" t="str">
        <f t="shared" si="29"/>
        <v/>
      </c>
      <c r="AM34" s="14" t="str">
        <f t="shared" si="30"/>
        <v/>
      </c>
      <c r="AN34" s="14" t="str">
        <f t="shared" si="31"/>
        <v/>
      </c>
      <c r="AO34" s="14" t="str">
        <f t="shared" si="32"/>
        <v/>
      </c>
      <c r="AP34" s="14" t="str">
        <f t="shared" si="33"/>
        <v/>
      </c>
      <c r="AQ34" s="14" t="str">
        <f t="shared" si="34"/>
        <v/>
      </c>
      <c r="AR34" s="14" t="str">
        <f t="shared" si="35"/>
        <v/>
      </c>
      <c r="AS34" s="14" t="str">
        <f t="shared" si="36"/>
        <v/>
      </c>
      <c r="AT34" s="14" t="str">
        <f t="shared" si="37"/>
        <v/>
      </c>
      <c r="AU34" s="14" t="str">
        <f t="shared" si="38"/>
        <v/>
      </c>
      <c r="AV34" s="14" t="str">
        <f t="shared" si="39"/>
        <v/>
      </c>
      <c r="AW34" s="14" t="str">
        <f t="shared" si="40"/>
        <v/>
      </c>
      <c r="AX34" s="14" t="str">
        <f t="shared" si="41"/>
        <v/>
      </c>
      <c r="AY34" s="14" t="str">
        <f t="shared" si="42"/>
        <v/>
      </c>
      <c r="AZ34" s="14" t="str">
        <f t="shared" si="43"/>
        <v/>
      </c>
      <c r="BA34" s="14" t="str">
        <f t="shared" si="44"/>
        <v/>
      </c>
      <c r="BB34" s="14" t="str">
        <f t="shared" si="45"/>
        <v/>
      </c>
      <c r="BC34" s="14" t="str">
        <f t="shared" si="46"/>
        <v/>
      </c>
      <c r="BD34" s="14" t="str">
        <f t="shared" si="47"/>
        <v/>
      </c>
      <c r="BE34" s="14" t="str">
        <f t="shared" si="48"/>
        <v/>
      </c>
      <c r="BF34" s="14" t="str">
        <f t="shared" si="49"/>
        <v/>
      </c>
      <c r="BG34" s="14" t="str">
        <f t="shared" si="50"/>
        <v/>
      </c>
      <c r="BH34" s="14" t="str">
        <f t="shared" si="51"/>
        <v/>
      </c>
      <c r="BI34" s="14" t="str">
        <f t="shared" si="52"/>
        <v/>
      </c>
      <c r="BJ34" s="14" t="str">
        <f t="shared" si="53"/>
        <v/>
      </c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 ht="15.75" customHeight="1">
      <c r="A35" s="16" t="s">
        <v>100</v>
      </c>
      <c r="C35" s="43" t="s">
        <v>101</v>
      </c>
      <c r="D35" s="41" t="s">
        <v>102</v>
      </c>
      <c r="E35" s="23" t="s">
        <v>78</v>
      </c>
      <c r="F35" s="23" t="s">
        <v>27</v>
      </c>
      <c r="G35" s="12">
        <v>45845.0</v>
      </c>
      <c r="H35" s="12">
        <v>45849.0</v>
      </c>
      <c r="I35" s="24"/>
      <c r="J35" s="14" t="str">
        <f t="shared" si="54"/>
        <v/>
      </c>
      <c r="K35" s="14" t="str">
        <f t="shared" si="55"/>
        <v/>
      </c>
      <c r="L35" s="14" t="str">
        <f t="shared" si="3"/>
        <v/>
      </c>
      <c r="M35" s="14" t="str">
        <f t="shared" si="4"/>
        <v/>
      </c>
      <c r="N35" s="14" t="str">
        <f t="shared" si="5"/>
        <v/>
      </c>
      <c r="O35" s="14" t="str">
        <f t="shared" si="6"/>
        <v/>
      </c>
      <c r="P35" s="14" t="str">
        <f t="shared" si="7"/>
        <v/>
      </c>
      <c r="Q35" s="25" t="str">
        <f t="shared" si="8"/>
        <v>진행 예정</v>
      </c>
      <c r="R35" s="25" t="str">
        <f t="shared" si="9"/>
        <v>진행 예정</v>
      </c>
      <c r="S35" s="25" t="str">
        <f t="shared" si="10"/>
        <v>진행 예정</v>
      </c>
      <c r="T35" s="25" t="str">
        <f t="shared" si="11"/>
        <v>진행 예정</v>
      </c>
      <c r="U35" s="25" t="str">
        <f t="shared" si="12"/>
        <v>진행 예정</v>
      </c>
      <c r="V35" s="14" t="str">
        <f t="shared" si="13"/>
        <v/>
      </c>
      <c r="W35" s="14" t="str">
        <f t="shared" si="14"/>
        <v/>
      </c>
      <c r="X35" s="14" t="str">
        <f t="shared" si="15"/>
        <v/>
      </c>
      <c r="Y35" s="14" t="str">
        <f t="shared" si="16"/>
        <v/>
      </c>
      <c r="Z35" s="14" t="str">
        <f t="shared" si="17"/>
        <v/>
      </c>
      <c r="AA35" s="14" t="str">
        <f t="shared" si="18"/>
        <v/>
      </c>
      <c r="AB35" s="14" t="str">
        <f t="shared" si="19"/>
        <v/>
      </c>
      <c r="AC35" s="14" t="str">
        <f t="shared" si="20"/>
        <v/>
      </c>
      <c r="AD35" s="14" t="str">
        <f t="shared" si="21"/>
        <v/>
      </c>
      <c r="AE35" s="14" t="str">
        <f t="shared" si="22"/>
        <v/>
      </c>
      <c r="AF35" s="14" t="str">
        <f t="shared" si="23"/>
        <v/>
      </c>
      <c r="AG35" s="14" t="str">
        <f t="shared" si="24"/>
        <v/>
      </c>
      <c r="AH35" s="14" t="str">
        <f t="shared" si="25"/>
        <v/>
      </c>
      <c r="AI35" s="14" t="str">
        <f t="shared" si="26"/>
        <v/>
      </c>
      <c r="AJ35" s="14" t="str">
        <f t="shared" si="27"/>
        <v/>
      </c>
      <c r="AK35" s="14" t="str">
        <f t="shared" si="28"/>
        <v/>
      </c>
      <c r="AL35" s="14" t="str">
        <f t="shared" si="29"/>
        <v/>
      </c>
      <c r="AM35" s="14" t="str">
        <f t="shared" si="30"/>
        <v/>
      </c>
      <c r="AN35" s="14" t="str">
        <f t="shared" si="31"/>
        <v/>
      </c>
      <c r="AO35" s="14" t="str">
        <f t="shared" si="32"/>
        <v/>
      </c>
      <c r="AP35" s="14" t="str">
        <f t="shared" si="33"/>
        <v/>
      </c>
      <c r="AQ35" s="14" t="str">
        <f t="shared" si="34"/>
        <v/>
      </c>
      <c r="AR35" s="14" t="str">
        <f t="shared" si="35"/>
        <v/>
      </c>
      <c r="AS35" s="14" t="str">
        <f t="shared" si="36"/>
        <v/>
      </c>
      <c r="AT35" s="14" t="str">
        <f t="shared" si="37"/>
        <v/>
      </c>
      <c r="AU35" s="14" t="str">
        <f t="shared" si="38"/>
        <v/>
      </c>
      <c r="AV35" s="14" t="str">
        <f t="shared" si="39"/>
        <v/>
      </c>
      <c r="AW35" s="14" t="str">
        <f t="shared" si="40"/>
        <v/>
      </c>
      <c r="AX35" s="14" t="str">
        <f t="shared" si="41"/>
        <v/>
      </c>
      <c r="AY35" s="14" t="str">
        <f t="shared" si="42"/>
        <v/>
      </c>
      <c r="AZ35" s="14" t="str">
        <f t="shared" si="43"/>
        <v/>
      </c>
      <c r="BA35" s="14" t="str">
        <f t="shared" si="44"/>
        <v/>
      </c>
      <c r="BB35" s="14" t="str">
        <f t="shared" si="45"/>
        <v/>
      </c>
      <c r="BC35" s="14" t="str">
        <f t="shared" si="46"/>
        <v/>
      </c>
      <c r="BD35" s="14" t="str">
        <f t="shared" si="47"/>
        <v/>
      </c>
      <c r="BE35" s="14" t="str">
        <f t="shared" si="48"/>
        <v/>
      </c>
      <c r="BF35" s="14" t="str">
        <f t="shared" si="49"/>
        <v/>
      </c>
      <c r="BG35" s="14" t="str">
        <f t="shared" si="50"/>
        <v/>
      </c>
      <c r="BH35" s="14" t="str">
        <f t="shared" si="51"/>
        <v/>
      </c>
      <c r="BI35" s="14" t="str">
        <f t="shared" si="52"/>
        <v/>
      </c>
      <c r="BJ35" s="14" t="str">
        <f t="shared" si="53"/>
        <v/>
      </c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ht="15.75" customHeight="1">
      <c r="A36" s="16" t="s">
        <v>103</v>
      </c>
      <c r="C36" s="40"/>
      <c r="D36" s="41" t="s">
        <v>104</v>
      </c>
      <c r="E36" s="23" t="s">
        <v>78</v>
      </c>
      <c r="F36" s="23" t="s">
        <v>27</v>
      </c>
      <c r="G36" s="12">
        <v>45859.0</v>
      </c>
      <c r="H36" s="12">
        <v>45863.0</v>
      </c>
      <c r="I36" s="24"/>
      <c r="J36" s="14" t="str">
        <f t="shared" si="54"/>
        <v/>
      </c>
      <c r="K36" s="14" t="str">
        <f t="shared" si="55"/>
        <v/>
      </c>
      <c r="L36" s="14" t="str">
        <f t="shared" si="3"/>
        <v/>
      </c>
      <c r="M36" s="14" t="str">
        <f t="shared" si="4"/>
        <v/>
      </c>
      <c r="N36" s="14" t="str">
        <f t="shared" si="5"/>
        <v/>
      </c>
      <c r="O36" s="14" t="str">
        <f t="shared" si="6"/>
        <v/>
      </c>
      <c r="P36" s="14" t="str">
        <f t="shared" si="7"/>
        <v/>
      </c>
      <c r="Q36" s="14" t="str">
        <f t="shared" si="8"/>
        <v/>
      </c>
      <c r="R36" s="14" t="str">
        <f t="shared" si="9"/>
        <v/>
      </c>
      <c r="S36" s="14" t="str">
        <f t="shared" si="10"/>
        <v/>
      </c>
      <c r="T36" s="14" t="str">
        <f t="shared" si="11"/>
        <v/>
      </c>
      <c r="U36" s="14" t="str">
        <f t="shared" si="12"/>
        <v/>
      </c>
      <c r="V36" s="14" t="str">
        <f t="shared" si="13"/>
        <v/>
      </c>
      <c r="W36" s="14" t="str">
        <f t="shared" si="14"/>
        <v/>
      </c>
      <c r="X36" s="14" t="str">
        <f t="shared" si="15"/>
        <v/>
      </c>
      <c r="Y36" s="14" t="str">
        <f t="shared" si="16"/>
        <v/>
      </c>
      <c r="Z36" s="14" t="str">
        <f t="shared" si="17"/>
        <v/>
      </c>
      <c r="AA36" s="14" t="str">
        <f t="shared" si="18"/>
        <v/>
      </c>
      <c r="AB36" s="14" t="str">
        <f t="shared" si="19"/>
        <v/>
      </c>
      <c r="AC36" s="14" t="str">
        <f t="shared" si="20"/>
        <v/>
      </c>
      <c r="AD36" s="14" t="str">
        <f t="shared" si="21"/>
        <v/>
      </c>
      <c r="AE36" s="25" t="str">
        <f t="shared" si="22"/>
        <v>진행 예정</v>
      </c>
      <c r="AF36" s="25" t="str">
        <f t="shared" si="23"/>
        <v>진행 예정</v>
      </c>
      <c r="AG36" s="25" t="str">
        <f t="shared" si="24"/>
        <v>진행 예정</v>
      </c>
      <c r="AH36" s="25" t="str">
        <f t="shared" si="25"/>
        <v>진행 예정</v>
      </c>
      <c r="AI36" s="25" t="str">
        <f t="shared" si="26"/>
        <v>진행 예정</v>
      </c>
      <c r="AJ36" s="14" t="str">
        <f t="shared" si="27"/>
        <v/>
      </c>
      <c r="AK36" s="14" t="str">
        <f t="shared" si="28"/>
        <v/>
      </c>
      <c r="AL36" s="14" t="str">
        <f t="shared" si="29"/>
        <v/>
      </c>
      <c r="AM36" s="14" t="str">
        <f t="shared" si="30"/>
        <v/>
      </c>
      <c r="AN36" s="14" t="str">
        <f t="shared" si="31"/>
        <v/>
      </c>
      <c r="AO36" s="14" t="str">
        <f t="shared" si="32"/>
        <v/>
      </c>
      <c r="AP36" s="14" t="str">
        <f t="shared" si="33"/>
        <v/>
      </c>
      <c r="AQ36" s="14" t="str">
        <f t="shared" si="34"/>
        <v/>
      </c>
      <c r="AR36" s="14" t="str">
        <f t="shared" si="35"/>
        <v/>
      </c>
      <c r="AS36" s="14" t="str">
        <f t="shared" si="36"/>
        <v/>
      </c>
      <c r="AT36" s="14" t="str">
        <f t="shared" si="37"/>
        <v/>
      </c>
      <c r="AU36" s="14" t="str">
        <f t="shared" si="38"/>
        <v/>
      </c>
      <c r="AV36" s="14" t="str">
        <f t="shared" si="39"/>
        <v/>
      </c>
      <c r="AW36" s="14" t="str">
        <f t="shared" si="40"/>
        <v/>
      </c>
      <c r="AX36" s="14" t="str">
        <f t="shared" si="41"/>
        <v/>
      </c>
      <c r="AY36" s="14" t="str">
        <f t="shared" si="42"/>
        <v/>
      </c>
      <c r="AZ36" s="14" t="str">
        <f t="shared" si="43"/>
        <v/>
      </c>
      <c r="BA36" s="14" t="str">
        <f t="shared" si="44"/>
        <v/>
      </c>
      <c r="BB36" s="14" t="str">
        <f t="shared" si="45"/>
        <v/>
      </c>
      <c r="BC36" s="14" t="str">
        <f t="shared" si="46"/>
        <v/>
      </c>
      <c r="BD36" s="14" t="str">
        <f t="shared" si="47"/>
        <v/>
      </c>
      <c r="BE36" s="14" t="str">
        <f t="shared" si="48"/>
        <v/>
      </c>
      <c r="BF36" s="14" t="str">
        <f t="shared" si="49"/>
        <v/>
      </c>
      <c r="BG36" s="14" t="str">
        <f t="shared" si="50"/>
        <v/>
      </c>
      <c r="BH36" s="14" t="str">
        <f t="shared" si="51"/>
        <v/>
      </c>
      <c r="BI36" s="14" t="str">
        <f t="shared" si="52"/>
        <v/>
      </c>
      <c r="BJ36" s="14" t="str">
        <f t="shared" si="53"/>
        <v/>
      </c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ht="15.75" customHeight="1">
      <c r="A37" s="16" t="s">
        <v>105</v>
      </c>
      <c r="C37" s="40"/>
      <c r="D37" s="41" t="s">
        <v>106</v>
      </c>
      <c r="E37" s="23" t="s">
        <v>78</v>
      </c>
      <c r="F37" s="23" t="s">
        <v>27</v>
      </c>
      <c r="G37" s="12">
        <v>45859.0</v>
      </c>
      <c r="H37" s="12">
        <v>45863.0</v>
      </c>
      <c r="I37" s="24"/>
      <c r="J37" s="14" t="str">
        <f t="shared" si="54"/>
        <v/>
      </c>
      <c r="K37" s="14" t="str">
        <f t="shared" si="55"/>
        <v/>
      </c>
      <c r="L37" s="14" t="str">
        <f t="shared" si="3"/>
        <v/>
      </c>
      <c r="M37" s="14" t="str">
        <f t="shared" si="4"/>
        <v/>
      </c>
      <c r="N37" s="14" t="str">
        <f t="shared" si="5"/>
        <v/>
      </c>
      <c r="O37" s="14" t="str">
        <f t="shared" si="6"/>
        <v/>
      </c>
      <c r="P37" s="14" t="str">
        <f t="shared" si="7"/>
        <v/>
      </c>
      <c r="Q37" s="14" t="str">
        <f t="shared" si="8"/>
        <v/>
      </c>
      <c r="R37" s="14" t="str">
        <f t="shared" si="9"/>
        <v/>
      </c>
      <c r="S37" s="14" t="str">
        <f t="shared" si="10"/>
        <v/>
      </c>
      <c r="T37" s="14" t="str">
        <f t="shared" si="11"/>
        <v/>
      </c>
      <c r="U37" s="14" t="str">
        <f t="shared" si="12"/>
        <v/>
      </c>
      <c r="V37" s="14" t="str">
        <f t="shared" si="13"/>
        <v/>
      </c>
      <c r="W37" s="14" t="str">
        <f t="shared" si="14"/>
        <v/>
      </c>
      <c r="X37" s="14" t="str">
        <f t="shared" si="15"/>
        <v/>
      </c>
      <c r="Y37" s="14" t="str">
        <f t="shared" si="16"/>
        <v/>
      </c>
      <c r="Z37" s="14" t="str">
        <f t="shared" si="17"/>
        <v/>
      </c>
      <c r="AA37" s="14" t="str">
        <f t="shared" si="18"/>
        <v/>
      </c>
      <c r="AB37" s="14" t="str">
        <f t="shared" si="19"/>
        <v/>
      </c>
      <c r="AC37" s="14" t="str">
        <f t="shared" si="20"/>
        <v/>
      </c>
      <c r="AD37" s="14" t="str">
        <f t="shared" si="21"/>
        <v/>
      </c>
      <c r="AE37" s="25" t="str">
        <f t="shared" si="22"/>
        <v>진행 예정</v>
      </c>
      <c r="AF37" s="25" t="str">
        <f t="shared" si="23"/>
        <v>진행 예정</v>
      </c>
      <c r="AG37" s="25" t="str">
        <f t="shared" si="24"/>
        <v>진행 예정</v>
      </c>
      <c r="AH37" s="25" t="str">
        <f t="shared" si="25"/>
        <v>진행 예정</v>
      </c>
      <c r="AI37" s="25" t="str">
        <f t="shared" si="26"/>
        <v>진행 예정</v>
      </c>
      <c r="AJ37" s="14" t="str">
        <f t="shared" si="27"/>
        <v/>
      </c>
      <c r="AK37" s="14" t="str">
        <f t="shared" si="28"/>
        <v/>
      </c>
      <c r="AL37" s="14" t="str">
        <f t="shared" si="29"/>
        <v/>
      </c>
      <c r="AM37" s="14" t="str">
        <f t="shared" si="30"/>
        <v/>
      </c>
      <c r="AN37" s="14" t="str">
        <f t="shared" si="31"/>
        <v/>
      </c>
      <c r="AO37" s="14" t="str">
        <f t="shared" si="32"/>
        <v/>
      </c>
      <c r="AP37" s="14" t="str">
        <f t="shared" si="33"/>
        <v/>
      </c>
      <c r="AQ37" s="14" t="str">
        <f t="shared" si="34"/>
        <v/>
      </c>
      <c r="AR37" s="14" t="str">
        <f t="shared" si="35"/>
        <v/>
      </c>
      <c r="AS37" s="14" t="str">
        <f t="shared" si="36"/>
        <v/>
      </c>
      <c r="AT37" s="14" t="str">
        <f t="shared" si="37"/>
        <v/>
      </c>
      <c r="AU37" s="14" t="str">
        <f t="shared" si="38"/>
        <v/>
      </c>
      <c r="AV37" s="14" t="str">
        <f t="shared" si="39"/>
        <v/>
      </c>
      <c r="AW37" s="14" t="str">
        <f t="shared" si="40"/>
        <v/>
      </c>
      <c r="AX37" s="14" t="str">
        <f t="shared" si="41"/>
        <v/>
      </c>
      <c r="AY37" s="14" t="str">
        <f t="shared" si="42"/>
        <v/>
      </c>
      <c r="AZ37" s="14" t="str">
        <f t="shared" si="43"/>
        <v/>
      </c>
      <c r="BA37" s="14" t="str">
        <f t="shared" si="44"/>
        <v/>
      </c>
      <c r="BB37" s="14" t="str">
        <f t="shared" si="45"/>
        <v/>
      </c>
      <c r="BC37" s="14" t="str">
        <f t="shared" si="46"/>
        <v/>
      </c>
      <c r="BD37" s="14" t="str">
        <f t="shared" si="47"/>
        <v/>
      </c>
      <c r="BE37" s="14" t="str">
        <f t="shared" si="48"/>
        <v/>
      </c>
      <c r="BF37" s="14" t="str">
        <f t="shared" si="49"/>
        <v/>
      </c>
      <c r="BG37" s="14" t="str">
        <f t="shared" si="50"/>
        <v/>
      </c>
      <c r="BH37" s="14" t="str">
        <f t="shared" si="51"/>
        <v/>
      </c>
      <c r="BI37" s="14" t="str">
        <f t="shared" si="52"/>
        <v/>
      </c>
      <c r="BJ37" s="14" t="str">
        <f t="shared" si="53"/>
        <v/>
      </c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 ht="15.75" customHeight="1">
      <c r="A38" s="16" t="s">
        <v>107</v>
      </c>
      <c r="C38" s="42"/>
      <c r="D38" s="41" t="s">
        <v>108</v>
      </c>
      <c r="E38" s="23" t="s">
        <v>78</v>
      </c>
      <c r="F38" s="23" t="s">
        <v>27</v>
      </c>
      <c r="G38" s="12">
        <v>45859.0</v>
      </c>
      <c r="H38" s="12">
        <v>45863.0</v>
      </c>
      <c r="I38" s="24"/>
      <c r="J38" s="14" t="str">
        <f t="shared" si="54"/>
        <v/>
      </c>
      <c r="K38" s="14" t="str">
        <f t="shared" si="55"/>
        <v/>
      </c>
      <c r="L38" s="14" t="str">
        <f t="shared" si="3"/>
        <v/>
      </c>
      <c r="M38" s="14" t="str">
        <f t="shared" si="4"/>
        <v/>
      </c>
      <c r="N38" s="14" t="str">
        <f t="shared" si="5"/>
        <v/>
      </c>
      <c r="O38" s="14" t="str">
        <f t="shared" si="6"/>
        <v/>
      </c>
      <c r="P38" s="14" t="str">
        <f t="shared" si="7"/>
        <v/>
      </c>
      <c r="Q38" s="14" t="str">
        <f t="shared" si="8"/>
        <v/>
      </c>
      <c r="R38" s="14" t="str">
        <f t="shared" si="9"/>
        <v/>
      </c>
      <c r="S38" s="14" t="str">
        <f t="shared" si="10"/>
        <v/>
      </c>
      <c r="T38" s="14" t="str">
        <f t="shared" si="11"/>
        <v/>
      </c>
      <c r="U38" s="14" t="str">
        <f t="shared" si="12"/>
        <v/>
      </c>
      <c r="V38" s="14" t="str">
        <f t="shared" si="13"/>
        <v/>
      </c>
      <c r="W38" s="14" t="str">
        <f t="shared" si="14"/>
        <v/>
      </c>
      <c r="X38" s="14" t="str">
        <f t="shared" si="15"/>
        <v/>
      </c>
      <c r="Y38" s="14" t="str">
        <f t="shared" si="16"/>
        <v/>
      </c>
      <c r="Z38" s="14" t="str">
        <f t="shared" si="17"/>
        <v/>
      </c>
      <c r="AA38" s="14" t="str">
        <f t="shared" si="18"/>
        <v/>
      </c>
      <c r="AB38" s="14" t="str">
        <f t="shared" si="19"/>
        <v/>
      </c>
      <c r="AC38" s="14" t="str">
        <f t="shared" si="20"/>
        <v/>
      </c>
      <c r="AD38" s="14" t="str">
        <f t="shared" si="21"/>
        <v/>
      </c>
      <c r="AE38" s="25" t="str">
        <f t="shared" si="22"/>
        <v>진행 예정</v>
      </c>
      <c r="AF38" s="25" t="str">
        <f t="shared" si="23"/>
        <v>진행 예정</v>
      </c>
      <c r="AG38" s="25" t="str">
        <f t="shared" si="24"/>
        <v>진행 예정</v>
      </c>
      <c r="AH38" s="25" t="str">
        <f t="shared" si="25"/>
        <v>진행 예정</v>
      </c>
      <c r="AI38" s="25" t="str">
        <f t="shared" si="26"/>
        <v>진행 예정</v>
      </c>
      <c r="AJ38" s="14" t="str">
        <f t="shared" si="27"/>
        <v/>
      </c>
      <c r="AK38" s="14" t="str">
        <f t="shared" si="28"/>
        <v/>
      </c>
      <c r="AL38" s="14" t="str">
        <f t="shared" si="29"/>
        <v/>
      </c>
      <c r="AM38" s="14" t="str">
        <f t="shared" si="30"/>
        <v/>
      </c>
      <c r="AN38" s="14" t="str">
        <f t="shared" si="31"/>
        <v/>
      </c>
      <c r="AO38" s="14" t="str">
        <f t="shared" si="32"/>
        <v/>
      </c>
      <c r="AP38" s="14" t="str">
        <f t="shared" si="33"/>
        <v/>
      </c>
      <c r="AQ38" s="14" t="str">
        <f t="shared" si="34"/>
        <v/>
      </c>
      <c r="AR38" s="14" t="str">
        <f t="shared" si="35"/>
        <v/>
      </c>
      <c r="AS38" s="14" t="str">
        <f t="shared" si="36"/>
        <v/>
      </c>
      <c r="AT38" s="14" t="str">
        <f t="shared" si="37"/>
        <v/>
      </c>
      <c r="AU38" s="14" t="str">
        <f t="shared" si="38"/>
        <v/>
      </c>
      <c r="AV38" s="14" t="str">
        <f t="shared" si="39"/>
        <v/>
      </c>
      <c r="AW38" s="14" t="str">
        <f t="shared" si="40"/>
        <v/>
      </c>
      <c r="AX38" s="14" t="str">
        <f t="shared" si="41"/>
        <v/>
      </c>
      <c r="AY38" s="14" t="str">
        <f t="shared" si="42"/>
        <v/>
      </c>
      <c r="AZ38" s="14" t="str">
        <f t="shared" si="43"/>
        <v/>
      </c>
      <c r="BA38" s="14" t="str">
        <f t="shared" si="44"/>
        <v/>
      </c>
      <c r="BB38" s="14" t="str">
        <f t="shared" si="45"/>
        <v/>
      </c>
      <c r="BC38" s="14" t="str">
        <f t="shared" si="46"/>
        <v/>
      </c>
      <c r="BD38" s="14" t="str">
        <f t="shared" si="47"/>
        <v/>
      </c>
      <c r="BE38" s="14" t="str">
        <f t="shared" si="48"/>
        <v/>
      </c>
      <c r="BF38" s="14" t="str">
        <f t="shared" si="49"/>
        <v/>
      </c>
      <c r="BG38" s="14" t="str">
        <f t="shared" si="50"/>
        <v/>
      </c>
      <c r="BH38" s="14" t="str">
        <f t="shared" si="51"/>
        <v/>
      </c>
      <c r="BI38" s="14" t="str">
        <f t="shared" si="52"/>
        <v/>
      </c>
      <c r="BJ38" s="14" t="str">
        <f t="shared" si="53"/>
        <v/>
      </c>
      <c r="BK38" s="7"/>
      <c r="BL38" s="7"/>
      <c r="BM38" s="7"/>
      <c r="BN38" s="7"/>
      <c r="BO38" s="7"/>
      <c r="BP38" s="7"/>
      <c r="BQ38" s="7"/>
      <c r="BR38" s="7"/>
      <c r="BS38" s="7"/>
      <c r="BT38" s="7"/>
    </row>
    <row r="39" ht="15.75" customHeight="1">
      <c r="A39" s="16" t="s">
        <v>109</v>
      </c>
      <c r="C39" s="44" t="s">
        <v>110</v>
      </c>
      <c r="D39" s="41" t="s">
        <v>111</v>
      </c>
      <c r="E39" s="23" t="s">
        <v>59</v>
      </c>
      <c r="F39" s="23" t="s">
        <v>27</v>
      </c>
      <c r="G39" s="12">
        <v>45852.0</v>
      </c>
      <c r="H39" s="12">
        <v>45856.0</v>
      </c>
      <c r="I39" s="24"/>
      <c r="J39" s="14" t="str">
        <f t="shared" si="54"/>
        <v/>
      </c>
      <c r="K39" s="14" t="str">
        <f t="shared" si="55"/>
        <v/>
      </c>
      <c r="L39" s="14" t="str">
        <f t="shared" si="3"/>
        <v/>
      </c>
      <c r="M39" s="14" t="str">
        <f t="shared" si="4"/>
        <v/>
      </c>
      <c r="N39" s="14" t="str">
        <f t="shared" si="5"/>
        <v/>
      </c>
      <c r="O39" s="14" t="str">
        <f t="shared" si="6"/>
        <v/>
      </c>
      <c r="P39" s="14" t="str">
        <f t="shared" si="7"/>
        <v/>
      </c>
      <c r="Q39" s="14" t="str">
        <f t="shared" si="8"/>
        <v/>
      </c>
      <c r="R39" s="14" t="str">
        <f t="shared" si="9"/>
        <v/>
      </c>
      <c r="S39" s="14" t="str">
        <f t="shared" si="10"/>
        <v/>
      </c>
      <c r="T39" s="14" t="str">
        <f t="shared" si="11"/>
        <v/>
      </c>
      <c r="U39" s="14" t="str">
        <f t="shared" si="12"/>
        <v/>
      </c>
      <c r="V39" s="14" t="str">
        <f t="shared" si="13"/>
        <v/>
      </c>
      <c r="W39" s="14" t="str">
        <f t="shared" si="14"/>
        <v/>
      </c>
      <c r="X39" s="25" t="str">
        <f t="shared" si="15"/>
        <v>진행 예정</v>
      </c>
      <c r="Y39" s="25" t="str">
        <f t="shared" si="16"/>
        <v>진행 예정</v>
      </c>
      <c r="Z39" s="25" t="str">
        <f t="shared" si="17"/>
        <v>진행 예정</v>
      </c>
      <c r="AA39" s="25" t="str">
        <f t="shared" si="18"/>
        <v>진행 예정</v>
      </c>
      <c r="AB39" s="25" t="str">
        <f t="shared" si="19"/>
        <v>진행 예정</v>
      </c>
      <c r="AC39" s="14" t="str">
        <f t="shared" si="20"/>
        <v/>
      </c>
      <c r="AD39" s="14" t="str">
        <f t="shared" si="21"/>
        <v/>
      </c>
      <c r="AE39" s="14" t="str">
        <f t="shared" si="22"/>
        <v/>
      </c>
      <c r="AF39" s="14" t="str">
        <f t="shared" si="23"/>
        <v/>
      </c>
      <c r="AG39" s="14" t="str">
        <f t="shared" si="24"/>
        <v/>
      </c>
      <c r="AH39" s="14" t="str">
        <f t="shared" si="25"/>
        <v/>
      </c>
      <c r="AI39" s="14" t="str">
        <f t="shared" si="26"/>
        <v/>
      </c>
      <c r="AJ39" s="14" t="str">
        <f t="shared" si="27"/>
        <v/>
      </c>
      <c r="AK39" s="14" t="str">
        <f t="shared" si="28"/>
        <v/>
      </c>
      <c r="AL39" s="14" t="str">
        <f t="shared" si="29"/>
        <v/>
      </c>
      <c r="AM39" s="14" t="str">
        <f t="shared" si="30"/>
        <v/>
      </c>
      <c r="AN39" s="14" t="str">
        <f t="shared" si="31"/>
        <v/>
      </c>
      <c r="AO39" s="14" t="str">
        <f t="shared" si="32"/>
        <v/>
      </c>
      <c r="AP39" s="14" t="str">
        <f t="shared" si="33"/>
        <v/>
      </c>
      <c r="AQ39" s="14" t="str">
        <f t="shared" si="34"/>
        <v/>
      </c>
      <c r="AR39" s="14" t="str">
        <f t="shared" si="35"/>
        <v/>
      </c>
      <c r="AS39" s="14" t="str">
        <f t="shared" si="36"/>
        <v/>
      </c>
      <c r="AT39" s="14" t="str">
        <f t="shared" si="37"/>
        <v/>
      </c>
      <c r="AU39" s="14" t="str">
        <f t="shared" si="38"/>
        <v/>
      </c>
      <c r="AV39" s="14" t="str">
        <f t="shared" si="39"/>
        <v/>
      </c>
      <c r="AW39" s="14" t="str">
        <f t="shared" si="40"/>
        <v/>
      </c>
      <c r="AX39" s="14" t="str">
        <f t="shared" si="41"/>
        <v/>
      </c>
      <c r="AY39" s="14" t="str">
        <f t="shared" si="42"/>
        <v/>
      </c>
      <c r="AZ39" s="14" t="str">
        <f t="shared" si="43"/>
        <v/>
      </c>
      <c r="BA39" s="14" t="str">
        <f t="shared" si="44"/>
        <v/>
      </c>
      <c r="BB39" s="14" t="str">
        <f t="shared" si="45"/>
        <v/>
      </c>
      <c r="BC39" s="14" t="str">
        <f t="shared" si="46"/>
        <v/>
      </c>
      <c r="BD39" s="14" t="str">
        <f t="shared" si="47"/>
        <v/>
      </c>
      <c r="BE39" s="14" t="str">
        <f t="shared" si="48"/>
        <v/>
      </c>
      <c r="BF39" s="14" t="str">
        <f t="shared" si="49"/>
        <v/>
      </c>
      <c r="BG39" s="14" t="str">
        <f t="shared" si="50"/>
        <v/>
      </c>
      <c r="BH39" s="14" t="str">
        <f t="shared" si="51"/>
        <v/>
      </c>
      <c r="BI39" s="14" t="str">
        <f t="shared" si="52"/>
        <v/>
      </c>
      <c r="BJ39" s="14" t="str">
        <f t="shared" si="53"/>
        <v/>
      </c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 ht="15.75" customHeight="1">
      <c r="A40" s="16" t="s">
        <v>112</v>
      </c>
      <c r="C40" s="40"/>
      <c r="D40" s="41" t="s">
        <v>113</v>
      </c>
      <c r="E40" s="18" t="s">
        <v>59</v>
      </c>
      <c r="F40" s="23" t="s">
        <v>27</v>
      </c>
      <c r="G40" s="12">
        <v>45852.0</v>
      </c>
      <c r="H40" s="12">
        <v>45856.0</v>
      </c>
      <c r="I40" s="24"/>
      <c r="J40" s="14" t="str">
        <f t="shared" si="54"/>
        <v/>
      </c>
      <c r="K40" s="14" t="str">
        <f t="shared" si="55"/>
        <v/>
      </c>
      <c r="L40" s="14" t="str">
        <f t="shared" si="3"/>
        <v/>
      </c>
      <c r="M40" s="14" t="str">
        <f t="shared" si="4"/>
        <v/>
      </c>
      <c r="N40" s="14" t="str">
        <f t="shared" si="5"/>
        <v/>
      </c>
      <c r="O40" s="14" t="str">
        <f t="shared" si="6"/>
        <v/>
      </c>
      <c r="P40" s="14" t="str">
        <f t="shared" si="7"/>
        <v/>
      </c>
      <c r="Q40" s="14" t="str">
        <f t="shared" si="8"/>
        <v/>
      </c>
      <c r="R40" s="14" t="str">
        <f t="shared" si="9"/>
        <v/>
      </c>
      <c r="S40" s="14" t="str">
        <f t="shared" si="10"/>
        <v/>
      </c>
      <c r="T40" s="14" t="str">
        <f t="shared" si="11"/>
        <v/>
      </c>
      <c r="U40" s="14" t="str">
        <f t="shared" si="12"/>
        <v/>
      </c>
      <c r="V40" s="14" t="str">
        <f t="shared" si="13"/>
        <v/>
      </c>
      <c r="W40" s="14" t="str">
        <f t="shared" si="14"/>
        <v/>
      </c>
      <c r="X40" s="25" t="str">
        <f t="shared" si="15"/>
        <v>진행 예정</v>
      </c>
      <c r="Y40" s="25" t="str">
        <f t="shared" si="16"/>
        <v>진행 예정</v>
      </c>
      <c r="Z40" s="25" t="str">
        <f t="shared" si="17"/>
        <v>진행 예정</v>
      </c>
      <c r="AA40" s="25" t="str">
        <f t="shared" si="18"/>
        <v>진행 예정</v>
      </c>
      <c r="AB40" s="25" t="str">
        <f t="shared" si="19"/>
        <v>진행 예정</v>
      </c>
      <c r="AC40" s="14" t="str">
        <f t="shared" si="20"/>
        <v/>
      </c>
      <c r="AD40" s="14" t="str">
        <f t="shared" si="21"/>
        <v/>
      </c>
      <c r="AE40" s="14" t="str">
        <f t="shared" si="22"/>
        <v/>
      </c>
      <c r="AF40" s="14" t="str">
        <f t="shared" si="23"/>
        <v/>
      </c>
      <c r="AG40" s="14" t="str">
        <f t="shared" si="24"/>
        <v/>
      </c>
      <c r="AH40" s="14" t="str">
        <f t="shared" si="25"/>
        <v/>
      </c>
      <c r="AI40" s="14" t="str">
        <f t="shared" si="26"/>
        <v/>
      </c>
      <c r="AJ40" s="14" t="str">
        <f t="shared" si="27"/>
        <v/>
      </c>
      <c r="AK40" s="14" t="str">
        <f t="shared" si="28"/>
        <v/>
      </c>
      <c r="AL40" s="14" t="str">
        <f t="shared" si="29"/>
        <v/>
      </c>
      <c r="AM40" s="14" t="str">
        <f t="shared" si="30"/>
        <v/>
      </c>
      <c r="AN40" s="14" t="str">
        <f t="shared" si="31"/>
        <v/>
      </c>
      <c r="AO40" s="14" t="str">
        <f t="shared" si="32"/>
        <v/>
      </c>
      <c r="AP40" s="14" t="str">
        <f t="shared" si="33"/>
        <v/>
      </c>
      <c r="AQ40" s="14" t="str">
        <f t="shared" si="34"/>
        <v/>
      </c>
      <c r="AR40" s="14" t="str">
        <f t="shared" si="35"/>
        <v/>
      </c>
      <c r="AS40" s="14" t="str">
        <f t="shared" si="36"/>
        <v/>
      </c>
      <c r="AT40" s="14" t="str">
        <f t="shared" si="37"/>
        <v/>
      </c>
      <c r="AU40" s="14" t="str">
        <f t="shared" si="38"/>
        <v/>
      </c>
      <c r="AV40" s="14" t="str">
        <f t="shared" si="39"/>
        <v/>
      </c>
      <c r="AW40" s="14" t="str">
        <f t="shared" si="40"/>
        <v/>
      </c>
      <c r="AX40" s="14" t="str">
        <f t="shared" si="41"/>
        <v/>
      </c>
      <c r="AY40" s="14" t="str">
        <f t="shared" si="42"/>
        <v/>
      </c>
      <c r="AZ40" s="14" t="str">
        <f t="shared" si="43"/>
        <v/>
      </c>
      <c r="BA40" s="14" t="str">
        <f t="shared" si="44"/>
        <v/>
      </c>
      <c r="BB40" s="14" t="str">
        <f t="shared" si="45"/>
        <v/>
      </c>
      <c r="BC40" s="14" t="str">
        <f t="shared" si="46"/>
        <v/>
      </c>
      <c r="BD40" s="14" t="str">
        <f t="shared" si="47"/>
        <v/>
      </c>
      <c r="BE40" s="14" t="str">
        <f t="shared" si="48"/>
        <v/>
      </c>
      <c r="BF40" s="14" t="str">
        <f t="shared" si="49"/>
        <v/>
      </c>
      <c r="BG40" s="14" t="str">
        <f t="shared" si="50"/>
        <v/>
      </c>
      <c r="BH40" s="14" t="str">
        <f t="shared" si="51"/>
        <v/>
      </c>
      <c r="BI40" s="14" t="str">
        <f t="shared" si="52"/>
        <v/>
      </c>
      <c r="BJ40" s="14" t="str">
        <f t="shared" si="53"/>
        <v/>
      </c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 ht="15.75" customHeight="1">
      <c r="A41" s="16" t="s">
        <v>114</v>
      </c>
      <c r="C41" s="40"/>
      <c r="D41" s="41" t="s">
        <v>115</v>
      </c>
      <c r="E41" s="18" t="s">
        <v>59</v>
      </c>
      <c r="F41" s="23" t="s">
        <v>27</v>
      </c>
      <c r="G41" s="12">
        <v>45852.0</v>
      </c>
      <c r="H41" s="12">
        <v>45856.0</v>
      </c>
      <c r="I41" s="24"/>
      <c r="J41" s="14" t="str">
        <f t="shared" si="54"/>
        <v/>
      </c>
      <c r="K41" s="14" t="str">
        <f t="shared" si="55"/>
        <v/>
      </c>
      <c r="L41" s="14" t="str">
        <f t="shared" si="3"/>
        <v/>
      </c>
      <c r="M41" s="14" t="str">
        <f t="shared" si="4"/>
        <v/>
      </c>
      <c r="N41" s="14" t="str">
        <f t="shared" si="5"/>
        <v/>
      </c>
      <c r="O41" s="14" t="str">
        <f t="shared" si="6"/>
        <v/>
      </c>
      <c r="P41" s="14" t="str">
        <f t="shared" si="7"/>
        <v/>
      </c>
      <c r="Q41" s="14" t="str">
        <f t="shared" si="8"/>
        <v/>
      </c>
      <c r="R41" s="14" t="str">
        <f t="shared" si="9"/>
        <v/>
      </c>
      <c r="S41" s="14" t="str">
        <f t="shared" si="10"/>
        <v/>
      </c>
      <c r="T41" s="14" t="str">
        <f t="shared" si="11"/>
        <v/>
      </c>
      <c r="U41" s="14" t="str">
        <f t="shared" si="12"/>
        <v/>
      </c>
      <c r="V41" s="14" t="str">
        <f t="shared" si="13"/>
        <v/>
      </c>
      <c r="W41" s="14" t="str">
        <f t="shared" si="14"/>
        <v/>
      </c>
      <c r="X41" s="25" t="str">
        <f t="shared" si="15"/>
        <v>진행 예정</v>
      </c>
      <c r="Y41" s="25" t="str">
        <f t="shared" si="16"/>
        <v>진행 예정</v>
      </c>
      <c r="Z41" s="25" t="str">
        <f t="shared" si="17"/>
        <v>진행 예정</v>
      </c>
      <c r="AA41" s="25" t="str">
        <f t="shared" si="18"/>
        <v>진행 예정</v>
      </c>
      <c r="AB41" s="25" t="str">
        <f t="shared" si="19"/>
        <v>진행 예정</v>
      </c>
      <c r="AC41" s="14" t="str">
        <f t="shared" si="20"/>
        <v/>
      </c>
      <c r="AD41" s="14" t="str">
        <f t="shared" si="21"/>
        <v/>
      </c>
      <c r="AE41" s="14" t="str">
        <f t="shared" si="22"/>
        <v/>
      </c>
      <c r="AF41" s="14" t="str">
        <f t="shared" si="23"/>
        <v/>
      </c>
      <c r="AG41" s="14" t="str">
        <f t="shared" si="24"/>
        <v/>
      </c>
      <c r="AH41" s="14" t="str">
        <f t="shared" si="25"/>
        <v/>
      </c>
      <c r="AI41" s="14" t="str">
        <f t="shared" si="26"/>
        <v/>
      </c>
      <c r="AJ41" s="14" t="str">
        <f t="shared" si="27"/>
        <v/>
      </c>
      <c r="AK41" s="14" t="str">
        <f t="shared" si="28"/>
        <v/>
      </c>
      <c r="AL41" s="14" t="str">
        <f t="shared" si="29"/>
        <v/>
      </c>
      <c r="AM41" s="14" t="str">
        <f t="shared" si="30"/>
        <v/>
      </c>
      <c r="AN41" s="14" t="str">
        <f t="shared" si="31"/>
        <v/>
      </c>
      <c r="AO41" s="14" t="str">
        <f t="shared" si="32"/>
        <v/>
      </c>
      <c r="AP41" s="14" t="str">
        <f t="shared" si="33"/>
        <v/>
      </c>
      <c r="AQ41" s="14" t="str">
        <f t="shared" si="34"/>
        <v/>
      </c>
      <c r="AR41" s="14" t="str">
        <f t="shared" si="35"/>
        <v/>
      </c>
      <c r="AS41" s="14" t="str">
        <f t="shared" si="36"/>
        <v/>
      </c>
      <c r="AT41" s="14" t="str">
        <f t="shared" si="37"/>
        <v/>
      </c>
      <c r="AU41" s="14" t="str">
        <f t="shared" si="38"/>
        <v/>
      </c>
      <c r="AV41" s="14" t="str">
        <f t="shared" si="39"/>
        <v/>
      </c>
      <c r="AW41" s="14" t="str">
        <f t="shared" si="40"/>
        <v/>
      </c>
      <c r="AX41" s="14" t="str">
        <f t="shared" si="41"/>
        <v/>
      </c>
      <c r="AY41" s="14" t="str">
        <f t="shared" si="42"/>
        <v/>
      </c>
      <c r="AZ41" s="14" t="str">
        <f t="shared" si="43"/>
        <v/>
      </c>
      <c r="BA41" s="14" t="str">
        <f t="shared" si="44"/>
        <v/>
      </c>
      <c r="BB41" s="14" t="str">
        <f t="shared" si="45"/>
        <v/>
      </c>
      <c r="BC41" s="14" t="str">
        <f t="shared" si="46"/>
        <v/>
      </c>
      <c r="BD41" s="14" t="str">
        <f t="shared" si="47"/>
        <v/>
      </c>
      <c r="BE41" s="14" t="str">
        <f t="shared" si="48"/>
        <v/>
      </c>
      <c r="BF41" s="14" t="str">
        <f t="shared" si="49"/>
        <v/>
      </c>
      <c r="BG41" s="14" t="str">
        <f t="shared" si="50"/>
        <v/>
      </c>
      <c r="BH41" s="14" t="str">
        <f t="shared" si="51"/>
        <v/>
      </c>
      <c r="BI41" s="14" t="str">
        <f t="shared" si="52"/>
        <v/>
      </c>
      <c r="BJ41" s="14" t="str">
        <f t="shared" si="53"/>
        <v/>
      </c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 ht="15.75" customHeight="1">
      <c r="A42" s="16" t="s">
        <v>116</v>
      </c>
      <c r="C42" s="42"/>
      <c r="D42" s="41" t="s">
        <v>117</v>
      </c>
      <c r="E42" s="18" t="s">
        <v>59</v>
      </c>
      <c r="F42" s="23" t="s">
        <v>27</v>
      </c>
      <c r="G42" s="12">
        <v>45852.0</v>
      </c>
      <c r="H42" s="12">
        <v>45856.0</v>
      </c>
      <c r="I42" s="24"/>
      <c r="J42" s="14" t="str">
        <f t="shared" si="54"/>
        <v/>
      </c>
      <c r="K42" s="14" t="str">
        <f t="shared" si="55"/>
        <v/>
      </c>
      <c r="L42" s="14" t="str">
        <f t="shared" si="3"/>
        <v/>
      </c>
      <c r="M42" s="14" t="str">
        <f t="shared" si="4"/>
        <v/>
      </c>
      <c r="N42" s="14" t="str">
        <f t="shared" si="5"/>
        <v/>
      </c>
      <c r="O42" s="14" t="str">
        <f t="shared" si="6"/>
        <v/>
      </c>
      <c r="P42" s="14" t="str">
        <f t="shared" si="7"/>
        <v/>
      </c>
      <c r="Q42" s="14" t="str">
        <f t="shared" si="8"/>
        <v/>
      </c>
      <c r="R42" s="14" t="str">
        <f t="shared" si="9"/>
        <v/>
      </c>
      <c r="S42" s="14" t="str">
        <f t="shared" si="10"/>
        <v/>
      </c>
      <c r="T42" s="14" t="str">
        <f t="shared" si="11"/>
        <v/>
      </c>
      <c r="U42" s="14" t="str">
        <f t="shared" si="12"/>
        <v/>
      </c>
      <c r="V42" s="14" t="str">
        <f t="shared" si="13"/>
        <v/>
      </c>
      <c r="W42" s="14" t="str">
        <f t="shared" si="14"/>
        <v/>
      </c>
      <c r="X42" s="25" t="str">
        <f t="shared" si="15"/>
        <v>진행 예정</v>
      </c>
      <c r="Y42" s="25" t="str">
        <f t="shared" si="16"/>
        <v>진행 예정</v>
      </c>
      <c r="Z42" s="25" t="str">
        <f t="shared" si="17"/>
        <v>진행 예정</v>
      </c>
      <c r="AA42" s="25" t="str">
        <f t="shared" si="18"/>
        <v>진행 예정</v>
      </c>
      <c r="AB42" s="25" t="str">
        <f t="shared" si="19"/>
        <v>진행 예정</v>
      </c>
      <c r="AC42" s="14" t="str">
        <f t="shared" si="20"/>
        <v/>
      </c>
      <c r="AD42" s="14" t="str">
        <f t="shared" si="21"/>
        <v/>
      </c>
      <c r="AE42" s="14" t="str">
        <f t="shared" si="22"/>
        <v/>
      </c>
      <c r="AF42" s="14" t="str">
        <f t="shared" si="23"/>
        <v/>
      </c>
      <c r="AG42" s="14" t="str">
        <f t="shared" si="24"/>
        <v/>
      </c>
      <c r="AH42" s="14" t="str">
        <f t="shared" si="25"/>
        <v/>
      </c>
      <c r="AI42" s="14" t="str">
        <f t="shared" si="26"/>
        <v/>
      </c>
      <c r="AJ42" s="14" t="str">
        <f t="shared" si="27"/>
        <v/>
      </c>
      <c r="AK42" s="14" t="str">
        <f t="shared" si="28"/>
        <v/>
      </c>
      <c r="AL42" s="14" t="str">
        <f t="shared" si="29"/>
        <v/>
      </c>
      <c r="AM42" s="14" t="str">
        <f t="shared" si="30"/>
        <v/>
      </c>
      <c r="AN42" s="14" t="str">
        <f t="shared" si="31"/>
        <v/>
      </c>
      <c r="AO42" s="14" t="str">
        <f t="shared" si="32"/>
        <v/>
      </c>
      <c r="AP42" s="14" t="str">
        <f t="shared" si="33"/>
        <v/>
      </c>
      <c r="AQ42" s="14" t="str">
        <f t="shared" si="34"/>
        <v/>
      </c>
      <c r="AR42" s="14" t="str">
        <f t="shared" si="35"/>
        <v/>
      </c>
      <c r="AS42" s="14" t="str">
        <f t="shared" si="36"/>
        <v/>
      </c>
      <c r="AT42" s="14" t="str">
        <f t="shared" si="37"/>
        <v/>
      </c>
      <c r="AU42" s="14" t="str">
        <f t="shared" si="38"/>
        <v/>
      </c>
      <c r="AV42" s="14" t="str">
        <f t="shared" si="39"/>
        <v/>
      </c>
      <c r="AW42" s="14" t="str">
        <f t="shared" si="40"/>
        <v/>
      </c>
      <c r="AX42" s="14" t="str">
        <f t="shared" si="41"/>
        <v/>
      </c>
      <c r="AY42" s="14" t="str">
        <f t="shared" si="42"/>
        <v/>
      </c>
      <c r="AZ42" s="14" t="str">
        <f t="shared" si="43"/>
        <v/>
      </c>
      <c r="BA42" s="14" t="str">
        <f t="shared" si="44"/>
        <v/>
      </c>
      <c r="BB42" s="14" t="str">
        <f t="shared" si="45"/>
        <v/>
      </c>
      <c r="BC42" s="14" t="str">
        <f t="shared" si="46"/>
        <v/>
      </c>
      <c r="BD42" s="14" t="str">
        <f t="shared" si="47"/>
        <v/>
      </c>
      <c r="BE42" s="14" t="str">
        <f t="shared" si="48"/>
        <v/>
      </c>
      <c r="BF42" s="14" t="str">
        <f t="shared" si="49"/>
        <v/>
      </c>
      <c r="BG42" s="14" t="str">
        <f t="shared" si="50"/>
        <v/>
      </c>
      <c r="BH42" s="14" t="str">
        <f t="shared" si="51"/>
        <v/>
      </c>
      <c r="BI42" s="14" t="str">
        <f t="shared" si="52"/>
        <v/>
      </c>
      <c r="BJ42" s="14" t="str">
        <f t="shared" si="53"/>
        <v/>
      </c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 ht="15.75" customHeight="1">
      <c r="A43" s="16" t="s">
        <v>118</v>
      </c>
      <c r="C43" s="41" t="s">
        <v>119</v>
      </c>
      <c r="D43" s="23" t="s">
        <v>120</v>
      </c>
      <c r="E43" s="18" t="s">
        <v>121</v>
      </c>
      <c r="F43" s="23" t="s">
        <v>27</v>
      </c>
      <c r="G43" s="12">
        <v>45845.0</v>
      </c>
      <c r="H43" s="12">
        <v>45849.0</v>
      </c>
      <c r="I43" s="24"/>
      <c r="J43" s="14" t="str">
        <f t="shared" si="54"/>
        <v/>
      </c>
      <c r="K43" s="14" t="str">
        <f t="shared" si="55"/>
        <v/>
      </c>
      <c r="L43" s="14" t="str">
        <f t="shared" si="3"/>
        <v/>
      </c>
      <c r="M43" s="14" t="str">
        <f t="shared" si="4"/>
        <v/>
      </c>
      <c r="N43" s="14" t="str">
        <f t="shared" si="5"/>
        <v/>
      </c>
      <c r="O43" s="14" t="str">
        <f t="shared" si="6"/>
        <v/>
      </c>
      <c r="P43" s="14" t="str">
        <f t="shared" si="7"/>
        <v/>
      </c>
      <c r="Q43" s="25" t="str">
        <f t="shared" si="8"/>
        <v>진행 예정</v>
      </c>
      <c r="R43" s="25" t="str">
        <f t="shared" si="9"/>
        <v>진행 예정</v>
      </c>
      <c r="S43" s="25" t="str">
        <f t="shared" si="10"/>
        <v>진행 예정</v>
      </c>
      <c r="T43" s="25" t="str">
        <f t="shared" si="11"/>
        <v>진행 예정</v>
      </c>
      <c r="U43" s="25" t="str">
        <f t="shared" si="12"/>
        <v>진행 예정</v>
      </c>
      <c r="V43" s="14" t="str">
        <f t="shared" si="13"/>
        <v/>
      </c>
      <c r="W43" s="14" t="str">
        <f t="shared" si="14"/>
        <v/>
      </c>
      <c r="X43" s="14" t="str">
        <f t="shared" si="15"/>
        <v/>
      </c>
      <c r="Y43" s="14" t="str">
        <f t="shared" si="16"/>
        <v/>
      </c>
      <c r="Z43" s="14" t="str">
        <f t="shared" si="17"/>
        <v/>
      </c>
      <c r="AA43" s="14" t="str">
        <f t="shared" si="18"/>
        <v/>
      </c>
      <c r="AB43" s="14" t="str">
        <f t="shared" si="19"/>
        <v/>
      </c>
      <c r="AC43" s="14" t="str">
        <f t="shared" si="20"/>
        <v/>
      </c>
      <c r="AD43" s="14" t="str">
        <f t="shared" si="21"/>
        <v/>
      </c>
      <c r="AE43" s="14" t="str">
        <f t="shared" si="22"/>
        <v/>
      </c>
      <c r="AF43" s="14" t="str">
        <f t="shared" si="23"/>
        <v/>
      </c>
      <c r="AG43" s="14" t="str">
        <f t="shared" si="24"/>
        <v/>
      </c>
      <c r="AH43" s="14" t="str">
        <f t="shared" si="25"/>
        <v/>
      </c>
      <c r="AI43" s="14" t="str">
        <f t="shared" si="26"/>
        <v/>
      </c>
      <c r="AJ43" s="14" t="str">
        <f t="shared" si="27"/>
        <v/>
      </c>
      <c r="AK43" s="14" t="str">
        <f t="shared" si="28"/>
        <v/>
      </c>
      <c r="AL43" s="14" t="str">
        <f t="shared" si="29"/>
        <v/>
      </c>
      <c r="AM43" s="14" t="str">
        <f t="shared" si="30"/>
        <v/>
      </c>
      <c r="AN43" s="14" t="str">
        <f t="shared" si="31"/>
        <v/>
      </c>
      <c r="AO43" s="14" t="str">
        <f t="shared" si="32"/>
        <v/>
      </c>
      <c r="AP43" s="14" t="str">
        <f t="shared" si="33"/>
        <v/>
      </c>
      <c r="AQ43" s="14" t="str">
        <f t="shared" si="34"/>
        <v/>
      </c>
      <c r="AR43" s="14" t="str">
        <f t="shared" si="35"/>
        <v/>
      </c>
      <c r="AS43" s="14" t="str">
        <f t="shared" si="36"/>
        <v/>
      </c>
      <c r="AT43" s="14" t="str">
        <f t="shared" si="37"/>
        <v/>
      </c>
      <c r="AU43" s="14" t="str">
        <f t="shared" si="38"/>
        <v/>
      </c>
      <c r="AV43" s="14" t="str">
        <f t="shared" si="39"/>
        <v/>
      </c>
      <c r="AW43" s="14" t="str">
        <f t="shared" si="40"/>
        <v/>
      </c>
      <c r="AX43" s="14" t="str">
        <f t="shared" si="41"/>
        <v/>
      </c>
      <c r="AY43" s="14" t="str">
        <f t="shared" si="42"/>
        <v/>
      </c>
      <c r="AZ43" s="14" t="str">
        <f t="shared" si="43"/>
        <v/>
      </c>
      <c r="BA43" s="14" t="str">
        <f t="shared" si="44"/>
        <v/>
      </c>
      <c r="BB43" s="14" t="str">
        <f t="shared" si="45"/>
        <v/>
      </c>
      <c r="BC43" s="14" t="str">
        <f t="shared" si="46"/>
        <v/>
      </c>
      <c r="BD43" s="14" t="str">
        <f t="shared" si="47"/>
        <v/>
      </c>
      <c r="BE43" s="14" t="str">
        <f t="shared" si="48"/>
        <v/>
      </c>
      <c r="BF43" s="14" t="str">
        <f t="shared" si="49"/>
        <v/>
      </c>
      <c r="BG43" s="14" t="str">
        <f t="shared" si="50"/>
        <v/>
      </c>
      <c r="BH43" s="14" t="str">
        <f t="shared" si="51"/>
        <v/>
      </c>
      <c r="BI43" s="14" t="str">
        <f t="shared" si="52"/>
        <v/>
      </c>
      <c r="BJ43" s="14" t="str">
        <f t="shared" si="53"/>
        <v/>
      </c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 ht="15.75" customHeight="1">
      <c r="A44" s="16" t="s">
        <v>122</v>
      </c>
      <c r="C44" s="43" t="s">
        <v>123</v>
      </c>
      <c r="D44" s="41" t="s">
        <v>124</v>
      </c>
      <c r="E44" s="18" t="s">
        <v>78</v>
      </c>
      <c r="F44" s="23" t="s">
        <v>27</v>
      </c>
      <c r="G44" s="12">
        <v>45866.0</v>
      </c>
      <c r="H44" s="12">
        <v>45870.0</v>
      </c>
      <c r="I44" s="19" t="s">
        <v>125</v>
      </c>
      <c r="J44" s="14" t="str">
        <f t="shared" si="54"/>
        <v/>
      </c>
      <c r="K44" s="14" t="str">
        <f t="shared" si="55"/>
        <v/>
      </c>
      <c r="L44" s="14" t="str">
        <f t="shared" si="3"/>
        <v/>
      </c>
      <c r="M44" s="14" t="str">
        <f t="shared" si="4"/>
        <v/>
      </c>
      <c r="N44" s="14" t="str">
        <f t="shared" si="5"/>
        <v/>
      </c>
      <c r="O44" s="14" t="str">
        <f t="shared" si="6"/>
        <v/>
      </c>
      <c r="P44" s="14" t="str">
        <f t="shared" si="7"/>
        <v/>
      </c>
      <c r="Q44" s="14" t="str">
        <f t="shared" si="8"/>
        <v/>
      </c>
      <c r="R44" s="14" t="str">
        <f t="shared" si="9"/>
        <v/>
      </c>
      <c r="S44" s="14" t="str">
        <f t="shared" si="10"/>
        <v/>
      </c>
      <c r="T44" s="14" t="str">
        <f t="shared" si="11"/>
        <v/>
      </c>
      <c r="U44" s="14" t="str">
        <f t="shared" si="12"/>
        <v/>
      </c>
      <c r="V44" s="14" t="str">
        <f t="shared" si="13"/>
        <v/>
      </c>
      <c r="W44" s="14" t="str">
        <f t="shared" si="14"/>
        <v/>
      </c>
      <c r="X44" s="14" t="str">
        <f t="shared" si="15"/>
        <v/>
      </c>
      <c r="Y44" s="14" t="str">
        <f t="shared" si="16"/>
        <v/>
      </c>
      <c r="Z44" s="14" t="str">
        <f t="shared" si="17"/>
        <v/>
      </c>
      <c r="AA44" s="14" t="str">
        <f t="shared" si="18"/>
        <v/>
      </c>
      <c r="AB44" s="14" t="str">
        <f t="shared" si="19"/>
        <v/>
      </c>
      <c r="AC44" s="14" t="str">
        <f t="shared" si="20"/>
        <v/>
      </c>
      <c r="AD44" s="14" t="str">
        <f t="shared" si="21"/>
        <v/>
      </c>
      <c r="AE44" s="14" t="str">
        <f t="shared" si="22"/>
        <v/>
      </c>
      <c r="AF44" s="14" t="str">
        <f t="shared" si="23"/>
        <v/>
      </c>
      <c r="AG44" s="14" t="str">
        <f t="shared" si="24"/>
        <v/>
      </c>
      <c r="AH44" s="14" t="str">
        <f t="shared" si="25"/>
        <v/>
      </c>
      <c r="AI44" s="14" t="str">
        <f t="shared" si="26"/>
        <v/>
      </c>
      <c r="AJ44" s="14" t="str">
        <f t="shared" si="27"/>
        <v/>
      </c>
      <c r="AK44" s="14" t="str">
        <f t="shared" si="28"/>
        <v/>
      </c>
      <c r="AL44" s="25" t="str">
        <f t="shared" si="29"/>
        <v>진행 예정</v>
      </c>
      <c r="AM44" s="25" t="str">
        <f t="shared" si="30"/>
        <v>진행 예정</v>
      </c>
      <c r="AN44" s="25" t="str">
        <f t="shared" si="31"/>
        <v>진행 예정</v>
      </c>
      <c r="AO44" s="25" t="str">
        <f t="shared" si="32"/>
        <v>진행 예정</v>
      </c>
      <c r="AP44" s="25" t="str">
        <f t="shared" si="33"/>
        <v>진행 예정</v>
      </c>
      <c r="AQ44" s="14" t="str">
        <f t="shared" si="34"/>
        <v/>
      </c>
      <c r="AR44" s="14" t="str">
        <f t="shared" si="35"/>
        <v/>
      </c>
      <c r="AS44" s="14" t="str">
        <f t="shared" si="36"/>
        <v/>
      </c>
      <c r="AT44" s="14" t="str">
        <f t="shared" si="37"/>
        <v/>
      </c>
      <c r="AU44" s="14" t="str">
        <f t="shared" si="38"/>
        <v/>
      </c>
      <c r="AV44" s="14" t="str">
        <f t="shared" si="39"/>
        <v/>
      </c>
      <c r="AW44" s="14" t="str">
        <f t="shared" si="40"/>
        <v/>
      </c>
      <c r="AX44" s="14" t="str">
        <f t="shared" si="41"/>
        <v/>
      </c>
      <c r="AY44" s="14" t="str">
        <f t="shared" si="42"/>
        <v/>
      </c>
      <c r="AZ44" s="14" t="str">
        <f t="shared" si="43"/>
        <v/>
      </c>
      <c r="BA44" s="14" t="str">
        <f t="shared" si="44"/>
        <v/>
      </c>
      <c r="BB44" s="14" t="str">
        <f t="shared" si="45"/>
        <v/>
      </c>
      <c r="BC44" s="14" t="str">
        <f t="shared" si="46"/>
        <v/>
      </c>
      <c r="BD44" s="14" t="str">
        <f t="shared" si="47"/>
        <v/>
      </c>
      <c r="BE44" s="14" t="str">
        <f t="shared" si="48"/>
        <v/>
      </c>
      <c r="BF44" s="14" t="str">
        <f t="shared" si="49"/>
        <v/>
      </c>
      <c r="BG44" s="14" t="str">
        <f t="shared" si="50"/>
        <v/>
      </c>
      <c r="BH44" s="14" t="str">
        <f t="shared" si="51"/>
        <v/>
      </c>
      <c r="BI44" s="14" t="str">
        <f t="shared" si="52"/>
        <v/>
      </c>
      <c r="BJ44" s="14" t="str">
        <f t="shared" si="53"/>
        <v/>
      </c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 ht="15.75" customHeight="1">
      <c r="A45" s="16" t="s">
        <v>126</v>
      </c>
      <c r="C45" s="40"/>
      <c r="D45" s="41" t="s">
        <v>127</v>
      </c>
      <c r="E45" s="18" t="s">
        <v>78</v>
      </c>
      <c r="F45" s="23" t="s">
        <v>27</v>
      </c>
      <c r="G45" s="12">
        <v>45866.0</v>
      </c>
      <c r="H45" s="12">
        <v>45870.0</v>
      </c>
      <c r="I45" s="19" t="s">
        <v>125</v>
      </c>
      <c r="J45" s="14" t="str">
        <f t="shared" si="54"/>
        <v/>
      </c>
      <c r="K45" s="14" t="str">
        <f t="shared" si="55"/>
        <v/>
      </c>
      <c r="L45" s="14" t="str">
        <f t="shared" si="3"/>
        <v/>
      </c>
      <c r="M45" s="14" t="str">
        <f t="shared" si="4"/>
        <v/>
      </c>
      <c r="N45" s="14" t="str">
        <f t="shared" si="5"/>
        <v/>
      </c>
      <c r="O45" s="14" t="str">
        <f t="shared" si="6"/>
        <v/>
      </c>
      <c r="P45" s="14" t="str">
        <f t="shared" si="7"/>
        <v/>
      </c>
      <c r="Q45" s="14" t="str">
        <f t="shared" si="8"/>
        <v/>
      </c>
      <c r="R45" s="14" t="str">
        <f t="shared" si="9"/>
        <v/>
      </c>
      <c r="S45" s="14" t="str">
        <f t="shared" si="10"/>
        <v/>
      </c>
      <c r="T45" s="14" t="str">
        <f t="shared" si="11"/>
        <v/>
      </c>
      <c r="U45" s="14" t="str">
        <f t="shared" si="12"/>
        <v/>
      </c>
      <c r="V45" s="14" t="str">
        <f t="shared" si="13"/>
        <v/>
      </c>
      <c r="W45" s="14" t="str">
        <f t="shared" si="14"/>
        <v/>
      </c>
      <c r="X45" s="14" t="str">
        <f t="shared" si="15"/>
        <v/>
      </c>
      <c r="Y45" s="14" t="str">
        <f t="shared" si="16"/>
        <v/>
      </c>
      <c r="Z45" s="14" t="str">
        <f t="shared" si="17"/>
        <v/>
      </c>
      <c r="AA45" s="14" t="str">
        <f t="shared" si="18"/>
        <v/>
      </c>
      <c r="AB45" s="14" t="str">
        <f t="shared" si="19"/>
        <v/>
      </c>
      <c r="AC45" s="14" t="str">
        <f t="shared" si="20"/>
        <v/>
      </c>
      <c r="AD45" s="14" t="str">
        <f t="shared" si="21"/>
        <v/>
      </c>
      <c r="AE45" s="14" t="str">
        <f t="shared" si="22"/>
        <v/>
      </c>
      <c r="AF45" s="14" t="str">
        <f t="shared" si="23"/>
        <v/>
      </c>
      <c r="AG45" s="14" t="str">
        <f t="shared" si="24"/>
        <v/>
      </c>
      <c r="AH45" s="14" t="str">
        <f t="shared" si="25"/>
        <v/>
      </c>
      <c r="AI45" s="14" t="str">
        <f t="shared" si="26"/>
        <v/>
      </c>
      <c r="AJ45" s="14" t="str">
        <f t="shared" si="27"/>
        <v/>
      </c>
      <c r="AK45" s="14" t="str">
        <f t="shared" si="28"/>
        <v/>
      </c>
      <c r="AL45" s="25" t="str">
        <f t="shared" si="29"/>
        <v>진행 예정</v>
      </c>
      <c r="AM45" s="25" t="str">
        <f t="shared" si="30"/>
        <v>진행 예정</v>
      </c>
      <c r="AN45" s="25" t="str">
        <f t="shared" si="31"/>
        <v>진행 예정</v>
      </c>
      <c r="AO45" s="25" t="str">
        <f t="shared" si="32"/>
        <v>진행 예정</v>
      </c>
      <c r="AP45" s="25" t="str">
        <f t="shared" si="33"/>
        <v>진행 예정</v>
      </c>
      <c r="AQ45" s="14" t="str">
        <f t="shared" si="34"/>
        <v/>
      </c>
      <c r="AR45" s="14" t="str">
        <f t="shared" si="35"/>
        <v/>
      </c>
      <c r="AS45" s="14" t="str">
        <f t="shared" si="36"/>
        <v/>
      </c>
      <c r="AT45" s="14" t="str">
        <f t="shared" si="37"/>
        <v/>
      </c>
      <c r="AU45" s="14" t="str">
        <f t="shared" si="38"/>
        <v/>
      </c>
      <c r="AV45" s="14" t="str">
        <f t="shared" si="39"/>
        <v/>
      </c>
      <c r="AW45" s="14" t="str">
        <f t="shared" si="40"/>
        <v/>
      </c>
      <c r="AX45" s="14" t="str">
        <f t="shared" si="41"/>
        <v/>
      </c>
      <c r="AY45" s="14" t="str">
        <f t="shared" si="42"/>
        <v/>
      </c>
      <c r="AZ45" s="14" t="str">
        <f t="shared" si="43"/>
        <v/>
      </c>
      <c r="BA45" s="14" t="str">
        <f t="shared" si="44"/>
        <v/>
      </c>
      <c r="BB45" s="14" t="str">
        <f t="shared" si="45"/>
        <v/>
      </c>
      <c r="BC45" s="14" t="str">
        <f t="shared" si="46"/>
        <v/>
      </c>
      <c r="BD45" s="14" t="str">
        <f t="shared" si="47"/>
        <v/>
      </c>
      <c r="BE45" s="14" t="str">
        <f t="shared" si="48"/>
        <v/>
      </c>
      <c r="BF45" s="14" t="str">
        <f t="shared" si="49"/>
        <v/>
      </c>
      <c r="BG45" s="14" t="str">
        <f t="shared" si="50"/>
        <v/>
      </c>
      <c r="BH45" s="14" t="str">
        <f t="shared" si="51"/>
        <v/>
      </c>
      <c r="BI45" s="14" t="str">
        <f t="shared" si="52"/>
        <v/>
      </c>
      <c r="BJ45" s="14" t="str">
        <f t="shared" si="53"/>
        <v/>
      </c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 ht="15.75" customHeight="1">
      <c r="A46" s="26" t="s">
        <v>128</v>
      </c>
      <c r="B46" s="27"/>
      <c r="C46" s="45"/>
      <c r="D46" s="46" t="s">
        <v>129</v>
      </c>
      <c r="E46" s="47" t="s">
        <v>78</v>
      </c>
      <c r="F46" s="29" t="s">
        <v>27</v>
      </c>
      <c r="G46" s="12">
        <v>45866.0</v>
      </c>
      <c r="H46" s="12">
        <v>45870.0</v>
      </c>
      <c r="I46" s="48" t="s">
        <v>125</v>
      </c>
      <c r="J46" s="14" t="str">
        <f t="shared" si="54"/>
        <v/>
      </c>
      <c r="K46" s="14" t="str">
        <f t="shared" si="55"/>
        <v/>
      </c>
      <c r="L46" s="14" t="str">
        <f t="shared" si="3"/>
        <v/>
      </c>
      <c r="M46" s="14" t="str">
        <f t="shared" si="4"/>
        <v/>
      </c>
      <c r="N46" s="14" t="str">
        <f t="shared" si="5"/>
        <v/>
      </c>
      <c r="O46" s="14" t="str">
        <f t="shared" si="6"/>
        <v/>
      </c>
      <c r="P46" s="14" t="str">
        <f t="shared" si="7"/>
        <v/>
      </c>
      <c r="Q46" s="14" t="str">
        <f t="shared" si="8"/>
        <v/>
      </c>
      <c r="R46" s="14" t="str">
        <f t="shared" si="9"/>
        <v/>
      </c>
      <c r="S46" s="14" t="str">
        <f t="shared" si="10"/>
        <v/>
      </c>
      <c r="T46" s="14" t="str">
        <f t="shared" si="11"/>
        <v/>
      </c>
      <c r="U46" s="14" t="str">
        <f t="shared" si="12"/>
        <v/>
      </c>
      <c r="V46" s="14" t="str">
        <f t="shared" si="13"/>
        <v/>
      </c>
      <c r="W46" s="14" t="str">
        <f t="shared" si="14"/>
        <v/>
      </c>
      <c r="X46" s="14" t="str">
        <f t="shared" si="15"/>
        <v/>
      </c>
      <c r="Y46" s="14" t="str">
        <f t="shared" si="16"/>
        <v/>
      </c>
      <c r="Z46" s="14" t="str">
        <f t="shared" si="17"/>
        <v/>
      </c>
      <c r="AA46" s="14" t="str">
        <f t="shared" si="18"/>
        <v/>
      </c>
      <c r="AB46" s="14" t="str">
        <f t="shared" si="19"/>
        <v/>
      </c>
      <c r="AC46" s="14" t="str">
        <f t="shared" si="20"/>
        <v/>
      </c>
      <c r="AD46" s="14" t="str">
        <f t="shared" si="21"/>
        <v/>
      </c>
      <c r="AE46" s="14" t="str">
        <f t="shared" si="22"/>
        <v/>
      </c>
      <c r="AF46" s="14" t="str">
        <f t="shared" si="23"/>
        <v/>
      </c>
      <c r="AG46" s="14" t="str">
        <f t="shared" si="24"/>
        <v/>
      </c>
      <c r="AH46" s="14" t="str">
        <f t="shared" si="25"/>
        <v/>
      </c>
      <c r="AI46" s="14" t="str">
        <f t="shared" si="26"/>
        <v/>
      </c>
      <c r="AJ46" s="14" t="str">
        <f t="shared" si="27"/>
        <v/>
      </c>
      <c r="AK46" s="14" t="str">
        <f t="shared" si="28"/>
        <v/>
      </c>
      <c r="AL46" s="25" t="str">
        <f t="shared" si="29"/>
        <v>진행 예정</v>
      </c>
      <c r="AM46" s="25" t="str">
        <f t="shared" si="30"/>
        <v>진행 예정</v>
      </c>
      <c r="AN46" s="25" t="str">
        <f t="shared" si="31"/>
        <v>진행 예정</v>
      </c>
      <c r="AO46" s="25" t="str">
        <f t="shared" si="32"/>
        <v>진행 예정</v>
      </c>
      <c r="AP46" s="25" t="str">
        <f t="shared" si="33"/>
        <v>진행 예정</v>
      </c>
      <c r="AQ46" s="14" t="str">
        <f t="shared" si="34"/>
        <v/>
      </c>
      <c r="AR46" s="14" t="str">
        <f t="shared" si="35"/>
        <v/>
      </c>
      <c r="AS46" s="14" t="str">
        <f t="shared" si="36"/>
        <v/>
      </c>
      <c r="AT46" s="14" t="str">
        <f t="shared" si="37"/>
        <v/>
      </c>
      <c r="AU46" s="14" t="str">
        <f t="shared" si="38"/>
        <v/>
      </c>
      <c r="AV46" s="14" t="str">
        <f t="shared" si="39"/>
        <v/>
      </c>
      <c r="AW46" s="14" t="str">
        <f t="shared" si="40"/>
        <v/>
      </c>
      <c r="AX46" s="14" t="str">
        <f t="shared" si="41"/>
        <v/>
      </c>
      <c r="AY46" s="14" t="str">
        <f t="shared" si="42"/>
        <v/>
      </c>
      <c r="AZ46" s="14" t="str">
        <f t="shared" si="43"/>
        <v/>
      </c>
      <c r="BA46" s="14" t="str">
        <f t="shared" si="44"/>
        <v/>
      </c>
      <c r="BB46" s="14" t="str">
        <f t="shared" si="45"/>
        <v/>
      </c>
      <c r="BC46" s="14" t="str">
        <f t="shared" si="46"/>
        <v/>
      </c>
      <c r="BD46" s="14" t="str">
        <f t="shared" si="47"/>
        <v/>
      </c>
      <c r="BE46" s="14" t="str">
        <f t="shared" si="48"/>
        <v/>
      </c>
      <c r="BF46" s="14" t="str">
        <f t="shared" si="49"/>
        <v/>
      </c>
      <c r="BG46" s="14" t="str">
        <f t="shared" si="50"/>
        <v/>
      </c>
      <c r="BH46" s="14" t="str">
        <f t="shared" si="51"/>
        <v/>
      </c>
      <c r="BI46" s="14" t="str">
        <f t="shared" si="52"/>
        <v/>
      </c>
      <c r="BJ46" s="14" t="str">
        <f t="shared" si="53"/>
        <v/>
      </c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 ht="15.75" customHeight="1">
      <c r="A47" s="8" t="s">
        <v>130</v>
      </c>
      <c r="B47" s="31" t="s">
        <v>131</v>
      </c>
      <c r="C47" s="49" t="s">
        <v>132</v>
      </c>
      <c r="D47" s="11" t="s">
        <v>133</v>
      </c>
      <c r="E47" s="11" t="s">
        <v>78</v>
      </c>
      <c r="F47" s="34" t="s">
        <v>27</v>
      </c>
      <c r="G47" s="12">
        <v>45866.0</v>
      </c>
      <c r="H47" s="12">
        <v>45870.0</v>
      </c>
      <c r="I47" s="13" t="s">
        <v>125</v>
      </c>
      <c r="J47" s="14" t="str">
        <f t="shared" si="54"/>
        <v/>
      </c>
      <c r="K47" s="14" t="str">
        <f t="shared" si="55"/>
        <v/>
      </c>
      <c r="L47" s="14" t="str">
        <f t="shared" si="3"/>
        <v/>
      </c>
      <c r="M47" s="14" t="str">
        <f t="shared" si="4"/>
        <v/>
      </c>
      <c r="N47" s="14" t="str">
        <f t="shared" si="5"/>
        <v/>
      </c>
      <c r="O47" s="14" t="str">
        <f t="shared" si="6"/>
        <v/>
      </c>
      <c r="P47" s="14" t="str">
        <f t="shared" si="7"/>
        <v/>
      </c>
      <c r="Q47" s="14" t="str">
        <f t="shared" si="8"/>
        <v/>
      </c>
      <c r="R47" s="14" t="str">
        <f t="shared" si="9"/>
        <v/>
      </c>
      <c r="S47" s="14" t="str">
        <f t="shared" si="10"/>
        <v/>
      </c>
      <c r="T47" s="14" t="str">
        <f t="shared" si="11"/>
        <v/>
      </c>
      <c r="U47" s="14" t="str">
        <f t="shared" si="12"/>
        <v/>
      </c>
      <c r="V47" s="14" t="str">
        <f t="shared" si="13"/>
        <v/>
      </c>
      <c r="W47" s="14" t="str">
        <f t="shared" si="14"/>
        <v/>
      </c>
      <c r="X47" s="14" t="str">
        <f t="shared" si="15"/>
        <v/>
      </c>
      <c r="Y47" s="14" t="str">
        <f t="shared" si="16"/>
        <v/>
      </c>
      <c r="Z47" s="14" t="str">
        <f t="shared" si="17"/>
        <v/>
      </c>
      <c r="AA47" s="14" t="str">
        <f t="shared" si="18"/>
        <v/>
      </c>
      <c r="AB47" s="14" t="str">
        <f t="shared" si="19"/>
        <v/>
      </c>
      <c r="AC47" s="14" t="str">
        <f t="shared" si="20"/>
        <v/>
      </c>
      <c r="AD47" s="14" t="str">
        <f t="shared" si="21"/>
        <v/>
      </c>
      <c r="AE47" s="14" t="str">
        <f t="shared" si="22"/>
        <v/>
      </c>
      <c r="AF47" s="14" t="str">
        <f t="shared" si="23"/>
        <v/>
      </c>
      <c r="AG47" s="14" t="str">
        <f t="shared" si="24"/>
        <v/>
      </c>
      <c r="AH47" s="14" t="str">
        <f t="shared" si="25"/>
        <v/>
      </c>
      <c r="AI47" s="14" t="str">
        <f t="shared" si="26"/>
        <v/>
      </c>
      <c r="AJ47" s="14" t="str">
        <f t="shared" si="27"/>
        <v/>
      </c>
      <c r="AK47" s="14" t="str">
        <f t="shared" si="28"/>
        <v/>
      </c>
      <c r="AL47" s="25" t="str">
        <f t="shared" si="29"/>
        <v>진행 예정</v>
      </c>
      <c r="AM47" s="25" t="str">
        <f t="shared" si="30"/>
        <v>진행 예정</v>
      </c>
      <c r="AN47" s="25" t="str">
        <f t="shared" si="31"/>
        <v>진행 예정</v>
      </c>
      <c r="AO47" s="25" t="str">
        <f t="shared" si="32"/>
        <v>진행 예정</v>
      </c>
      <c r="AP47" s="25" t="str">
        <f t="shared" si="33"/>
        <v>진행 예정</v>
      </c>
      <c r="AQ47" s="14" t="str">
        <f t="shared" si="34"/>
        <v/>
      </c>
      <c r="AR47" s="14" t="str">
        <f t="shared" si="35"/>
        <v/>
      </c>
      <c r="AS47" s="14" t="str">
        <f t="shared" si="36"/>
        <v/>
      </c>
      <c r="AT47" s="14" t="str">
        <f t="shared" si="37"/>
        <v/>
      </c>
      <c r="AU47" s="14" t="str">
        <f t="shared" si="38"/>
        <v/>
      </c>
      <c r="AV47" s="14" t="str">
        <f t="shared" si="39"/>
        <v/>
      </c>
      <c r="AW47" s="14" t="str">
        <f t="shared" si="40"/>
        <v/>
      </c>
      <c r="AX47" s="14" t="str">
        <f t="shared" si="41"/>
        <v/>
      </c>
      <c r="AY47" s="14" t="str">
        <f t="shared" si="42"/>
        <v/>
      </c>
      <c r="AZ47" s="14" t="str">
        <f t="shared" si="43"/>
        <v/>
      </c>
      <c r="BA47" s="14" t="str">
        <f t="shared" si="44"/>
        <v/>
      </c>
      <c r="BB47" s="14" t="str">
        <f t="shared" si="45"/>
        <v/>
      </c>
      <c r="BC47" s="14" t="str">
        <f t="shared" si="46"/>
        <v/>
      </c>
      <c r="BD47" s="14" t="str">
        <f t="shared" si="47"/>
        <v/>
      </c>
      <c r="BE47" s="14" t="str">
        <f t="shared" si="48"/>
        <v/>
      </c>
      <c r="BF47" s="14" t="str">
        <f t="shared" si="49"/>
        <v/>
      </c>
      <c r="BG47" s="14" t="str">
        <f t="shared" si="50"/>
        <v/>
      </c>
      <c r="BH47" s="14" t="str">
        <f t="shared" si="51"/>
        <v/>
      </c>
      <c r="BI47" s="14" t="str">
        <f t="shared" si="52"/>
        <v/>
      </c>
      <c r="BJ47" s="14" t="str">
        <f t="shared" si="53"/>
        <v/>
      </c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 ht="15.75" customHeight="1">
      <c r="A48" s="16" t="s">
        <v>134</v>
      </c>
      <c r="C48" s="40"/>
      <c r="D48" s="18" t="s">
        <v>135</v>
      </c>
      <c r="E48" s="18" t="s">
        <v>78</v>
      </c>
      <c r="F48" s="23" t="s">
        <v>27</v>
      </c>
      <c r="G48" s="12">
        <v>45859.0</v>
      </c>
      <c r="H48" s="12">
        <v>45877.0</v>
      </c>
      <c r="I48" s="24"/>
      <c r="J48" s="14" t="str">
        <f t="shared" si="54"/>
        <v/>
      </c>
      <c r="K48" s="14" t="str">
        <f t="shared" si="55"/>
        <v/>
      </c>
      <c r="L48" s="14" t="str">
        <f t="shared" si="3"/>
        <v/>
      </c>
      <c r="M48" s="14" t="str">
        <f t="shared" si="4"/>
        <v/>
      </c>
      <c r="N48" s="14" t="str">
        <f t="shared" si="5"/>
        <v/>
      </c>
      <c r="O48" s="14" t="str">
        <f t="shared" si="6"/>
        <v/>
      </c>
      <c r="P48" s="14" t="str">
        <f t="shared" si="7"/>
        <v/>
      </c>
      <c r="Q48" s="14" t="str">
        <f t="shared" si="8"/>
        <v/>
      </c>
      <c r="R48" s="14" t="str">
        <f t="shared" si="9"/>
        <v/>
      </c>
      <c r="S48" s="14" t="str">
        <f t="shared" si="10"/>
        <v/>
      </c>
      <c r="T48" s="14" t="str">
        <f t="shared" si="11"/>
        <v/>
      </c>
      <c r="U48" s="14" t="str">
        <f t="shared" si="12"/>
        <v/>
      </c>
      <c r="V48" s="14" t="str">
        <f t="shared" si="13"/>
        <v/>
      </c>
      <c r="W48" s="14" t="str">
        <f t="shared" si="14"/>
        <v/>
      </c>
      <c r="X48" s="14" t="str">
        <f t="shared" si="15"/>
        <v/>
      </c>
      <c r="Y48" s="14" t="str">
        <f t="shared" si="16"/>
        <v/>
      </c>
      <c r="Z48" s="14" t="str">
        <f t="shared" si="17"/>
        <v/>
      </c>
      <c r="AA48" s="14" t="str">
        <f t="shared" si="18"/>
        <v/>
      </c>
      <c r="AB48" s="14" t="str">
        <f t="shared" si="19"/>
        <v/>
      </c>
      <c r="AC48" s="14" t="str">
        <f t="shared" si="20"/>
        <v/>
      </c>
      <c r="AD48" s="14" t="str">
        <f t="shared" si="21"/>
        <v/>
      </c>
      <c r="AE48" s="25" t="str">
        <f t="shared" si="22"/>
        <v>진행 예정</v>
      </c>
      <c r="AF48" s="25" t="str">
        <f t="shared" si="23"/>
        <v>진행 예정</v>
      </c>
      <c r="AG48" s="25" t="str">
        <f t="shared" si="24"/>
        <v>진행 예정</v>
      </c>
      <c r="AH48" s="25" t="str">
        <f t="shared" si="25"/>
        <v>진행 예정</v>
      </c>
      <c r="AI48" s="25" t="str">
        <f t="shared" si="26"/>
        <v>진행 예정</v>
      </c>
      <c r="AJ48" s="25" t="str">
        <f t="shared" si="27"/>
        <v>진행 예정</v>
      </c>
      <c r="AK48" s="25" t="str">
        <f t="shared" si="28"/>
        <v>진행 예정</v>
      </c>
      <c r="AL48" s="25" t="str">
        <f t="shared" si="29"/>
        <v>진행 예정</v>
      </c>
      <c r="AM48" s="25" t="str">
        <f t="shared" si="30"/>
        <v>진행 예정</v>
      </c>
      <c r="AN48" s="25" t="str">
        <f t="shared" si="31"/>
        <v>진행 예정</v>
      </c>
      <c r="AO48" s="25" t="str">
        <f t="shared" si="32"/>
        <v>진행 예정</v>
      </c>
      <c r="AP48" s="25" t="str">
        <f t="shared" si="33"/>
        <v>진행 예정</v>
      </c>
      <c r="AQ48" s="25" t="str">
        <f t="shared" si="34"/>
        <v>진행 예정</v>
      </c>
      <c r="AR48" s="25" t="str">
        <f t="shared" si="35"/>
        <v>진행 예정</v>
      </c>
      <c r="AS48" s="25" t="str">
        <f t="shared" si="36"/>
        <v>진행 예정</v>
      </c>
      <c r="AT48" s="25" t="str">
        <f t="shared" si="37"/>
        <v>진행 예정</v>
      </c>
      <c r="AU48" s="25" t="str">
        <f t="shared" si="38"/>
        <v>진행 예정</v>
      </c>
      <c r="AV48" s="25" t="str">
        <f t="shared" si="39"/>
        <v>진행 예정</v>
      </c>
      <c r="AW48" s="25" t="str">
        <f t="shared" si="40"/>
        <v>진행 예정</v>
      </c>
      <c r="AX48" s="14" t="str">
        <f t="shared" si="41"/>
        <v/>
      </c>
      <c r="AY48" s="14" t="str">
        <f t="shared" si="42"/>
        <v/>
      </c>
      <c r="AZ48" s="14" t="str">
        <f t="shared" si="43"/>
        <v/>
      </c>
      <c r="BA48" s="14" t="str">
        <f t="shared" si="44"/>
        <v/>
      </c>
      <c r="BB48" s="14" t="str">
        <f t="shared" si="45"/>
        <v/>
      </c>
      <c r="BC48" s="14" t="str">
        <f t="shared" si="46"/>
        <v/>
      </c>
      <c r="BD48" s="14" t="str">
        <f t="shared" si="47"/>
        <v/>
      </c>
      <c r="BE48" s="14" t="str">
        <f t="shared" si="48"/>
        <v/>
      </c>
      <c r="BF48" s="14" t="str">
        <f t="shared" si="49"/>
        <v/>
      </c>
      <c r="BG48" s="14" t="str">
        <f t="shared" si="50"/>
        <v/>
      </c>
      <c r="BH48" s="14" t="str">
        <f t="shared" si="51"/>
        <v/>
      </c>
      <c r="BI48" s="14" t="str">
        <f t="shared" si="52"/>
        <v/>
      </c>
      <c r="BJ48" s="14" t="str">
        <f t="shared" si="53"/>
        <v/>
      </c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 ht="15.75" customHeight="1">
      <c r="A49" s="16" t="s">
        <v>136</v>
      </c>
      <c r="C49" s="42"/>
      <c r="D49" s="18" t="s">
        <v>137</v>
      </c>
      <c r="E49" s="18" t="s">
        <v>78</v>
      </c>
      <c r="F49" s="23" t="s">
        <v>27</v>
      </c>
      <c r="G49" s="12">
        <v>45859.0</v>
      </c>
      <c r="H49" s="12">
        <v>45877.0</v>
      </c>
      <c r="I49" s="24"/>
      <c r="J49" s="14" t="str">
        <f t="shared" si="54"/>
        <v/>
      </c>
      <c r="K49" s="14" t="str">
        <f t="shared" si="55"/>
        <v/>
      </c>
      <c r="L49" s="14" t="str">
        <f t="shared" si="3"/>
        <v/>
      </c>
      <c r="M49" s="14" t="str">
        <f t="shared" si="4"/>
        <v/>
      </c>
      <c r="N49" s="14" t="str">
        <f t="shared" si="5"/>
        <v/>
      </c>
      <c r="O49" s="14" t="str">
        <f t="shared" si="6"/>
        <v/>
      </c>
      <c r="P49" s="14" t="str">
        <f t="shared" si="7"/>
        <v/>
      </c>
      <c r="Q49" s="14" t="str">
        <f t="shared" si="8"/>
        <v/>
      </c>
      <c r="R49" s="14" t="str">
        <f t="shared" si="9"/>
        <v/>
      </c>
      <c r="S49" s="14" t="str">
        <f t="shared" si="10"/>
        <v/>
      </c>
      <c r="T49" s="14" t="str">
        <f t="shared" si="11"/>
        <v/>
      </c>
      <c r="U49" s="14" t="str">
        <f t="shared" si="12"/>
        <v/>
      </c>
      <c r="V49" s="14" t="str">
        <f t="shared" si="13"/>
        <v/>
      </c>
      <c r="W49" s="14" t="str">
        <f t="shared" si="14"/>
        <v/>
      </c>
      <c r="X49" s="14" t="str">
        <f t="shared" si="15"/>
        <v/>
      </c>
      <c r="Y49" s="14" t="str">
        <f t="shared" si="16"/>
        <v/>
      </c>
      <c r="Z49" s="14" t="str">
        <f t="shared" si="17"/>
        <v/>
      </c>
      <c r="AA49" s="14" t="str">
        <f t="shared" si="18"/>
        <v/>
      </c>
      <c r="AB49" s="14" t="str">
        <f t="shared" si="19"/>
        <v/>
      </c>
      <c r="AC49" s="14" t="str">
        <f t="shared" si="20"/>
        <v/>
      </c>
      <c r="AD49" s="14" t="str">
        <f t="shared" si="21"/>
        <v/>
      </c>
      <c r="AE49" s="25" t="str">
        <f t="shared" si="22"/>
        <v>진행 예정</v>
      </c>
      <c r="AF49" s="25" t="str">
        <f t="shared" si="23"/>
        <v>진행 예정</v>
      </c>
      <c r="AG49" s="25" t="str">
        <f t="shared" si="24"/>
        <v>진행 예정</v>
      </c>
      <c r="AH49" s="25" t="str">
        <f t="shared" si="25"/>
        <v>진행 예정</v>
      </c>
      <c r="AI49" s="25" t="str">
        <f t="shared" si="26"/>
        <v>진행 예정</v>
      </c>
      <c r="AJ49" s="25" t="str">
        <f t="shared" si="27"/>
        <v>진행 예정</v>
      </c>
      <c r="AK49" s="25" t="str">
        <f t="shared" si="28"/>
        <v>진행 예정</v>
      </c>
      <c r="AL49" s="25" t="str">
        <f t="shared" si="29"/>
        <v>진행 예정</v>
      </c>
      <c r="AM49" s="25" t="str">
        <f t="shared" si="30"/>
        <v>진행 예정</v>
      </c>
      <c r="AN49" s="25" t="str">
        <f t="shared" si="31"/>
        <v>진행 예정</v>
      </c>
      <c r="AO49" s="25" t="str">
        <f t="shared" si="32"/>
        <v>진행 예정</v>
      </c>
      <c r="AP49" s="25" t="str">
        <f t="shared" si="33"/>
        <v>진행 예정</v>
      </c>
      <c r="AQ49" s="25" t="str">
        <f t="shared" si="34"/>
        <v>진행 예정</v>
      </c>
      <c r="AR49" s="25" t="str">
        <f t="shared" si="35"/>
        <v>진행 예정</v>
      </c>
      <c r="AS49" s="25" t="str">
        <f t="shared" si="36"/>
        <v>진행 예정</v>
      </c>
      <c r="AT49" s="25" t="str">
        <f t="shared" si="37"/>
        <v>진행 예정</v>
      </c>
      <c r="AU49" s="25" t="str">
        <f t="shared" si="38"/>
        <v>진행 예정</v>
      </c>
      <c r="AV49" s="25" t="str">
        <f t="shared" si="39"/>
        <v>진행 예정</v>
      </c>
      <c r="AW49" s="25" t="str">
        <f t="shared" si="40"/>
        <v>진행 예정</v>
      </c>
      <c r="AX49" s="14" t="str">
        <f t="shared" si="41"/>
        <v/>
      </c>
      <c r="AY49" s="14" t="str">
        <f t="shared" si="42"/>
        <v/>
      </c>
      <c r="AZ49" s="14" t="str">
        <f t="shared" si="43"/>
        <v/>
      </c>
      <c r="BA49" s="14" t="str">
        <f t="shared" si="44"/>
        <v/>
      </c>
      <c r="BB49" s="14" t="str">
        <f t="shared" si="45"/>
        <v/>
      </c>
      <c r="BC49" s="14" t="str">
        <f t="shared" si="46"/>
        <v/>
      </c>
      <c r="BD49" s="14" t="str">
        <f t="shared" si="47"/>
        <v/>
      </c>
      <c r="BE49" s="14" t="str">
        <f t="shared" si="48"/>
        <v/>
      </c>
      <c r="BF49" s="14" t="str">
        <f t="shared" si="49"/>
        <v/>
      </c>
      <c r="BG49" s="14" t="str">
        <f t="shared" si="50"/>
        <v/>
      </c>
      <c r="BH49" s="14" t="str">
        <f t="shared" si="51"/>
        <v/>
      </c>
      <c r="BI49" s="14" t="str">
        <f t="shared" si="52"/>
        <v/>
      </c>
      <c r="BJ49" s="14" t="str">
        <f t="shared" si="53"/>
        <v/>
      </c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 ht="15.75" customHeight="1">
      <c r="A50" s="16" t="s">
        <v>138</v>
      </c>
      <c r="C50" s="37" t="s">
        <v>139</v>
      </c>
      <c r="D50" s="18" t="s">
        <v>140</v>
      </c>
      <c r="E50" s="18" t="s">
        <v>121</v>
      </c>
      <c r="F50" s="23" t="s">
        <v>27</v>
      </c>
      <c r="G50" s="12">
        <v>45859.0</v>
      </c>
      <c r="H50" s="12">
        <v>45877.0</v>
      </c>
      <c r="I50" s="24"/>
      <c r="J50" s="14" t="str">
        <f t="shared" si="54"/>
        <v/>
      </c>
      <c r="K50" s="14" t="str">
        <f t="shared" si="55"/>
        <v/>
      </c>
      <c r="L50" s="14" t="str">
        <f t="shared" si="3"/>
        <v/>
      </c>
      <c r="M50" s="14" t="str">
        <f t="shared" si="4"/>
        <v/>
      </c>
      <c r="N50" s="14" t="str">
        <f t="shared" si="5"/>
        <v/>
      </c>
      <c r="O50" s="14" t="str">
        <f t="shared" si="6"/>
        <v/>
      </c>
      <c r="P50" s="14" t="str">
        <f t="shared" si="7"/>
        <v/>
      </c>
      <c r="Q50" s="14" t="str">
        <f t="shared" si="8"/>
        <v/>
      </c>
      <c r="R50" s="14" t="str">
        <f t="shared" si="9"/>
        <v/>
      </c>
      <c r="S50" s="14" t="str">
        <f t="shared" si="10"/>
        <v/>
      </c>
      <c r="T50" s="14" t="str">
        <f t="shared" si="11"/>
        <v/>
      </c>
      <c r="U50" s="14" t="str">
        <f t="shared" si="12"/>
        <v/>
      </c>
      <c r="V50" s="14" t="str">
        <f t="shared" si="13"/>
        <v/>
      </c>
      <c r="W50" s="14" t="str">
        <f t="shared" si="14"/>
        <v/>
      </c>
      <c r="X50" s="14" t="str">
        <f t="shared" si="15"/>
        <v/>
      </c>
      <c r="Y50" s="14" t="str">
        <f t="shared" si="16"/>
        <v/>
      </c>
      <c r="Z50" s="14" t="str">
        <f t="shared" si="17"/>
        <v/>
      </c>
      <c r="AA50" s="14" t="str">
        <f t="shared" si="18"/>
        <v/>
      </c>
      <c r="AB50" s="14" t="str">
        <f t="shared" si="19"/>
        <v/>
      </c>
      <c r="AC50" s="14" t="str">
        <f t="shared" si="20"/>
        <v/>
      </c>
      <c r="AD50" s="14" t="str">
        <f t="shared" si="21"/>
        <v/>
      </c>
      <c r="AE50" s="25" t="str">
        <f t="shared" si="22"/>
        <v>진행 예정</v>
      </c>
      <c r="AF50" s="25" t="str">
        <f t="shared" si="23"/>
        <v>진행 예정</v>
      </c>
      <c r="AG50" s="25" t="str">
        <f t="shared" si="24"/>
        <v>진행 예정</v>
      </c>
      <c r="AH50" s="25" t="str">
        <f t="shared" si="25"/>
        <v>진행 예정</v>
      </c>
      <c r="AI50" s="25" t="str">
        <f t="shared" si="26"/>
        <v>진행 예정</v>
      </c>
      <c r="AJ50" s="25" t="str">
        <f t="shared" si="27"/>
        <v>진행 예정</v>
      </c>
      <c r="AK50" s="25" t="str">
        <f t="shared" si="28"/>
        <v>진행 예정</v>
      </c>
      <c r="AL50" s="25" t="str">
        <f t="shared" si="29"/>
        <v>진행 예정</v>
      </c>
      <c r="AM50" s="25" t="str">
        <f t="shared" si="30"/>
        <v>진행 예정</v>
      </c>
      <c r="AN50" s="25" t="str">
        <f t="shared" si="31"/>
        <v>진행 예정</v>
      </c>
      <c r="AO50" s="25" t="str">
        <f t="shared" si="32"/>
        <v>진행 예정</v>
      </c>
      <c r="AP50" s="25" t="str">
        <f t="shared" si="33"/>
        <v>진행 예정</v>
      </c>
      <c r="AQ50" s="25" t="str">
        <f t="shared" si="34"/>
        <v>진행 예정</v>
      </c>
      <c r="AR50" s="25" t="str">
        <f t="shared" si="35"/>
        <v>진행 예정</v>
      </c>
      <c r="AS50" s="25" t="str">
        <f t="shared" si="36"/>
        <v>진행 예정</v>
      </c>
      <c r="AT50" s="25" t="str">
        <f t="shared" si="37"/>
        <v>진행 예정</v>
      </c>
      <c r="AU50" s="25" t="str">
        <f t="shared" si="38"/>
        <v>진행 예정</v>
      </c>
      <c r="AV50" s="25" t="str">
        <f t="shared" si="39"/>
        <v>진행 예정</v>
      </c>
      <c r="AW50" s="25" t="str">
        <f t="shared" si="40"/>
        <v>진행 예정</v>
      </c>
      <c r="AX50" s="14" t="str">
        <f t="shared" si="41"/>
        <v/>
      </c>
      <c r="AY50" s="14" t="str">
        <f t="shared" si="42"/>
        <v/>
      </c>
      <c r="AZ50" s="14" t="str">
        <f t="shared" si="43"/>
        <v/>
      </c>
      <c r="BA50" s="14" t="str">
        <f t="shared" si="44"/>
        <v/>
      </c>
      <c r="BB50" s="14" t="str">
        <f t="shared" si="45"/>
        <v/>
      </c>
      <c r="BC50" s="14" t="str">
        <f t="shared" si="46"/>
        <v/>
      </c>
      <c r="BD50" s="14" t="str">
        <f t="shared" si="47"/>
        <v/>
      </c>
      <c r="BE50" s="14" t="str">
        <f t="shared" si="48"/>
        <v/>
      </c>
      <c r="BF50" s="14" t="str">
        <f t="shared" si="49"/>
        <v/>
      </c>
      <c r="BG50" s="14" t="str">
        <f t="shared" si="50"/>
        <v/>
      </c>
      <c r="BH50" s="14" t="str">
        <f t="shared" si="51"/>
        <v/>
      </c>
      <c r="BI50" s="14" t="str">
        <f t="shared" si="52"/>
        <v/>
      </c>
      <c r="BJ50" s="14" t="str">
        <f t="shared" si="53"/>
        <v/>
      </c>
      <c r="BK50" s="7"/>
      <c r="BL50" s="7"/>
      <c r="BM50" s="7"/>
      <c r="BN50" s="7"/>
      <c r="BO50" s="7"/>
      <c r="BP50" s="7"/>
      <c r="BQ50" s="7"/>
      <c r="BR50" s="7"/>
      <c r="BS50" s="7"/>
      <c r="BT50" s="7"/>
    </row>
    <row r="51" ht="15.75" customHeight="1">
      <c r="A51" s="16" t="s">
        <v>141</v>
      </c>
      <c r="D51" s="18" t="s">
        <v>142</v>
      </c>
      <c r="E51" s="18" t="s">
        <v>121</v>
      </c>
      <c r="F51" s="23" t="s">
        <v>27</v>
      </c>
      <c r="G51" s="12">
        <v>45859.0</v>
      </c>
      <c r="H51" s="12">
        <v>45877.0</v>
      </c>
      <c r="I51" s="24"/>
      <c r="J51" s="14" t="str">
        <f t="shared" si="54"/>
        <v/>
      </c>
      <c r="K51" s="14" t="str">
        <f t="shared" si="55"/>
        <v/>
      </c>
      <c r="L51" s="14" t="str">
        <f t="shared" si="3"/>
        <v/>
      </c>
      <c r="M51" s="14" t="str">
        <f t="shared" si="4"/>
        <v/>
      </c>
      <c r="N51" s="14" t="str">
        <f t="shared" si="5"/>
        <v/>
      </c>
      <c r="O51" s="14" t="str">
        <f t="shared" si="6"/>
        <v/>
      </c>
      <c r="P51" s="14" t="str">
        <f t="shared" si="7"/>
        <v/>
      </c>
      <c r="Q51" s="14" t="str">
        <f t="shared" si="8"/>
        <v/>
      </c>
      <c r="R51" s="14" t="str">
        <f t="shared" si="9"/>
        <v/>
      </c>
      <c r="S51" s="14" t="str">
        <f t="shared" si="10"/>
        <v/>
      </c>
      <c r="T51" s="14" t="str">
        <f t="shared" si="11"/>
        <v/>
      </c>
      <c r="U51" s="14" t="str">
        <f t="shared" si="12"/>
        <v/>
      </c>
      <c r="V51" s="14" t="str">
        <f t="shared" si="13"/>
        <v/>
      </c>
      <c r="W51" s="14" t="str">
        <f t="shared" si="14"/>
        <v/>
      </c>
      <c r="X51" s="14" t="str">
        <f t="shared" si="15"/>
        <v/>
      </c>
      <c r="Y51" s="14" t="str">
        <f t="shared" si="16"/>
        <v/>
      </c>
      <c r="Z51" s="14" t="str">
        <f t="shared" si="17"/>
        <v/>
      </c>
      <c r="AA51" s="14" t="str">
        <f t="shared" si="18"/>
        <v/>
      </c>
      <c r="AB51" s="14" t="str">
        <f t="shared" si="19"/>
        <v/>
      </c>
      <c r="AC51" s="14" t="str">
        <f t="shared" si="20"/>
        <v/>
      </c>
      <c r="AD51" s="14" t="str">
        <f t="shared" si="21"/>
        <v/>
      </c>
      <c r="AE51" s="25" t="str">
        <f t="shared" si="22"/>
        <v>진행 예정</v>
      </c>
      <c r="AF51" s="25" t="str">
        <f t="shared" si="23"/>
        <v>진행 예정</v>
      </c>
      <c r="AG51" s="25" t="str">
        <f t="shared" si="24"/>
        <v>진행 예정</v>
      </c>
      <c r="AH51" s="25" t="str">
        <f t="shared" si="25"/>
        <v>진행 예정</v>
      </c>
      <c r="AI51" s="25" t="str">
        <f t="shared" si="26"/>
        <v>진행 예정</v>
      </c>
      <c r="AJ51" s="25" t="str">
        <f t="shared" si="27"/>
        <v>진행 예정</v>
      </c>
      <c r="AK51" s="25" t="str">
        <f t="shared" si="28"/>
        <v>진행 예정</v>
      </c>
      <c r="AL51" s="25" t="str">
        <f t="shared" si="29"/>
        <v>진행 예정</v>
      </c>
      <c r="AM51" s="25" t="str">
        <f t="shared" si="30"/>
        <v>진행 예정</v>
      </c>
      <c r="AN51" s="25" t="str">
        <f t="shared" si="31"/>
        <v>진행 예정</v>
      </c>
      <c r="AO51" s="25" t="str">
        <f t="shared" si="32"/>
        <v>진행 예정</v>
      </c>
      <c r="AP51" s="25" t="str">
        <f t="shared" si="33"/>
        <v>진행 예정</v>
      </c>
      <c r="AQ51" s="25" t="str">
        <f t="shared" si="34"/>
        <v>진행 예정</v>
      </c>
      <c r="AR51" s="25" t="str">
        <f t="shared" si="35"/>
        <v>진행 예정</v>
      </c>
      <c r="AS51" s="25" t="str">
        <f t="shared" si="36"/>
        <v>진행 예정</v>
      </c>
      <c r="AT51" s="25" t="str">
        <f t="shared" si="37"/>
        <v>진행 예정</v>
      </c>
      <c r="AU51" s="25" t="str">
        <f t="shared" si="38"/>
        <v>진행 예정</v>
      </c>
      <c r="AV51" s="25" t="str">
        <f t="shared" si="39"/>
        <v>진행 예정</v>
      </c>
      <c r="AW51" s="25" t="str">
        <f t="shared" si="40"/>
        <v>진행 예정</v>
      </c>
      <c r="AX51" s="14" t="str">
        <f t="shared" si="41"/>
        <v/>
      </c>
      <c r="AY51" s="14" t="str">
        <f t="shared" si="42"/>
        <v/>
      </c>
      <c r="AZ51" s="14" t="str">
        <f t="shared" si="43"/>
        <v/>
      </c>
      <c r="BA51" s="14" t="str">
        <f t="shared" si="44"/>
        <v/>
      </c>
      <c r="BB51" s="14" t="str">
        <f t="shared" si="45"/>
        <v/>
      </c>
      <c r="BC51" s="14" t="str">
        <f t="shared" si="46"/>
        <v/>
      </c>
      <c r="BD51" s="14" t="str">
        <f t="shared" si="47"/>
        <v/>
      </c>
      <c r="BE51" s="14" t="str">
        <f t="shared" si="48"/>
        <v/>
      </c>
      <c r="BF51" s="14" t="str">
        <f t="shared" si="49"/>
        <v/>
      </c>
      <c r="BG51" s="14" t="str">
        <f t="shared" si="50"/>
        <v/>
      </c>
      <c r="BH51" s="14" t="str">
        <f t="shared" si="51"/>
        <v/>
      </c>
      <c r="BI51" s="14" t="str">
        <f t="shared" si="52"/>
        <v/>
      </c>
      <c r="BJ51" s="14" t="str">
        <f t="shared" si="53"/>
        <v/>
      </c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 ht="15.75" customHeight="1">
      <c r="A52" s="16" t="s">
        <v>143</v>
      </c>
      <c r="D52" s="18" t="s">
        <v>144</v>
      </c>
      <c r="E52" s="18" t="s">
        <v>121</v>
      </c>
      <c r="F52" s="23" t="s">
        <v>27</v>
      </c>
      <c r="G52" s="12">
        <v>45859.0</v>
      </c>
      <c r="H52" s="12">
        <v>45877.0</v>
      </c>
      <c r="I52" s="24"/>
      <c r="J52" s="14" t="str">
        <f t="shared" si="54"/>
        <v/>
      </c>
      <c r="K52" s="14" t="str">
        <f t="shared" si="55"/>
        <v/>
      </c>
      <c r="L52" s="14" t="str">
        <f t="shared" si="3"/>
        <v/>
      </c>
      <c r="M52" s="14" t="str">
        <f t="shared" si="4"/>
        <v/>
      </c>
      <c r="N52" s="14" t="str">
        <f t="shared" si="5"/>
        <v/>
      </c>
      <c r="O52" s="14" t="str">
        <f t="shared" si="6"/>
        <v/>
      </c>
      <c r="P52" s="14" t="str">
        <f t="shared" si="7"/>
        <v/>
      </c>
      <c r="Q52" s="14" t="str">
        <f t="shared" si="8"/>
        <v/>
      </c>
      <c r="R52" s="14" t="str">
        <f t="shared" si="9"/>
        <v/>
      </c>
      <c r="S52" s="14" t="str">
        <f t="shared" si="10"/>
        <v/>
      </c>
      <c r="T52" s="14" t="str">
        <f t="shared" si="11"/>
        <v/>
      </c>
      <c r="U52" s="14" t="str">
        <f t="shared" si="12"/>
        <v/>
      </c>
      <c r="V52" s="14" t="str">
        <f t="shared" si="13"/>
        <v/>
      </c>
      <c r="W52" s="14" t="str">
        <f t="shared" si="14"/>
        <v/>
      </c>
      <c r="X52" s="14" t="str">
        <f t="shared" si="15"/>
        <v/>
      </c>
      <c r="Y52" s="14" t="str">
        <f t="shared" si="16"/>
        <v/>
      </c>
      <c r="Z52" s="14" t="str">
        <f t="shared" si="17"/>
        <v/>
      </c>
      <c r="AA52" s="14" t="str">
        <f t="shared" si="18"/>
        <v/>
      </c>
      <c r="AB52" s="14" t="str">
        <f t="shared" si="19"/>
        <v/>
      </c>
      <c r="AC52" s="14" t="str">
        <f t="shared" si="20"/>
        <v/>
      </c>
      <c r="AD52" s="14" t="str">
        <f t="shared" si="21"/>
        <v/>
      </c>
      <c r="AE52" s="25" t="str">
        <f t="shared" si="22"/>
        <v>진행 예정</v>
      </c>
      <c r="AF52" s="25" t="str">
        <f t="shared" si="23"/>
        <v>진행 예정</v>
      </c>
      <c r="AG52" s="25" t="str">
        <f t="shared" si="24"/>
        <v>진행 예정</v>
      </c>
      <c r="AH52" s="25" t="str">
        <f t="shared" si="25"/>
        <v>진행 예정</v>
      </c>
      <c r="AI52" s="25" t="str">
        <f t="shared" si="26"/>
        <v>진행 예정</v>
      </c>
      <c r="AJ52" s="25" t="str">
        <f t="shared" si="27"/>
        <v>진행 예정</v>
      </c>
      <c r="AK52" s="25" t="str">
        <f t="shared" si="28"/>
        <v>진행 예정</v>
      </c>
      <c r="AL52" s="25" t="str">
        <f t="shared" si="29"/>
        <v>진행 예정</v>
      </c>
      <c r="AM52" s="25" t="str">
        <f t="shared" si="30"/>
        <v>진행 예정</v>
      </c>
      <c r="AN52" s="25" t="str">
        <f t="shared" si="31"/>
        <v>진행 예정</v>
      </c>
      <c r="AO52" s="25" t="str">
        <f t="shared" si="32"/>
        <v>진행 예정</v>
      </c>
      <c r="AP52" s="25" t="str">
        <f t="shared" si="33"/>
        <v>진행 예정</v>
      </c>
      <c r="AQ52" s="25" t="str">
        <f t="shared" si="34"/>
        <v>진행 예정</v>
      </c>
      <c r="AR52" s="25" t="str">
        <f t="shared" si="35"/>
        <v>진행 예정</v>
      </c>
      <c r="AS52" s="25" t="str">
        <f t="shared" si="36"/>
        <v>진행 예정</v>
      </c>
      <c r="AT52" s="25" t="str">
        <f t="shared" si="37"/>
        <v>진행 예정</v>
      </c>
      <c r="AU52" s="25" t="str">
        <f t="shared" si="38"/>
        <v>진행 예정</v>
      </c>
      <c r="AV52" s="25" t="str">
        <f t="shared" si="39"/>
        <v>진행 예정</v>
      </c>
      <c r="AW52" s="25" t="str">
        <f t="shared" si="40"/>
        <v>진행 예정</v>
      </c>
      <c r="AX52" s="14" t="str">
        <f t="shared" si="41"/>
        <v/>
      </c>
      <c r="AY52" s="14" t="str">
        <f t="shared" si="42"/>
        <v/>
      </c>
      <c r="AZ52" s="14" t="str">
        <f t="shared" si="43"/>
        <v/>
      </c>
      <c r="BA52" s="14" t="str">
        <f t="shared" si="44"/>
        <v/>
      </c>
      <c r="BB52" s="14" t="str">
        <f t="shared" si="45"/>
        <v/>
      </c>
      <c r="BC52" s="14" t="str">
        <f t="shared" si="46"/>
        <v/>
      </c>
      <c r="BD52" s="14" t="str">
        <f t="shared" si="47"/>
        <v/>
      </c>
      <c r="BE52" s="14" t="str">
        <f t="shared" si="48"/>
        <v/>
      </c>
      <c r="BF52" s="14" t="str">
        <f t="shared" si="49"/>
        <v/>
      </c>
      <c r="BG52" s="14" t="str">
        <f t="shared" si="50"/>
        <v/>
      </c>
      <c r="BH52" s="14" t="str">
        <f t="shared" si="51"/>
        <v/>
      </c>
      <c r="BI52" s="14" t="str">
        <f t="shared" si="52"/>
        <v/>
      </c>
      <c r="BJ52" s="14" t="str">
        <f t="shared" si="53"/>
        <v/>
      </c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 ht="15.75" customHeight="1">
      <c r="A53" s="16" t="s">
        <v>145</v>
      </c>
      <c r="C53" s="37" t="s">
        <v>146</v>
      </c>
      <c r="D53" s="18" t="s">
        <v>147</v>
      </c>
      <c r="E53" s="18" t="s">
        <v>121</v>
      </c>
      <c r="F53" s="23" t="s">
        <v>27</v>
      </c>
      <c r="G53" s="12">
        <v>45859.0</v>
      </c>
      <c r="H53" s="12">
        <v>45877.0</v>
      </c>
      <c r="I53" s="24"/>
      <c r="J53" s="14" t="str">
        <f t="shared" si="54"/>
        <v/>
      </c>
      <c r="K53" s="14" t="str">
        <f t="shared" si="55"/>
        <v/>
      </c>
      <c r="L53" s="14" t="str">
        <f t="shared" si="3"/>
        <v/>
      </c>
      <c r="M53" s="14" t="str">
        <f t="shared" si="4"/>
        <v/>
      </c>
      <c r="N53" s="14" t="str">
        <f t="shared" si="5"/>
        <v/>
      </c>
      <c r="O53" s="14" t="str">
        <f t="shared" si="6"/>
        <v/>
      </c>
      <c r="P53" s="14" t="str">
        <f t="shared" si="7"/>
        <v/>
      </c>
      <c r="Q53" s="14" t="str">
        <f t="shared" si="8"/>
        <v/>
      </c>
      <c r="R53" s="14" t="str">
        <f t="shared" si="9"/>
        <v/>
      </c>
      <c r="S53" s="14" t="str">
        <f t="shared" si="10"/>
        <v/>
      </c>
      <c r="T53" s="14" t="str">
        <f t="shared" si="11"/>
        <v/>
      </c>
      <c r="U53" s="14" t="str">
        <f t="shared" si="12"/>
        <v/>
      </c>
      <c r="V53" s="14" t="str">
        <f t="shared" si="13"/>
        <v/>
      </c>
      <c r="W53" s="14" t="str">
        <f t="shared" si="14"/>
        <v/>
      </c>
      <c r="X53" s="14" t="str">
        <f t="shared" si="15"/>
        <v/>
      </c>
      <c r="Y53" s="14" t="str">
        <f t="shared" si="16"/>
        <v/>
      </c>
      <c r="Z53" s="14" t="str">
        <f t="shared" si="17"/>
        <v/>
      </c>
      <c r="AA53" s="14" t="str">
        <f t="shared" si="18"/>
        <v/>
      </c>
      <c r="AB53" s="14" t="str">
        <f t="shared" si="19"/>
        <v/>
      </c>
      <c r="AC53" s="14" t="str">
        <f t="shared" si="20"/>
        <v/>
      </c>
      <c r="AD53" s="14" t="str">
        <f t="shared" si="21"/>
        <v/>
      </c>
      <c r="AE53" s="25" t="str">
        <f t="shared" si="22"/>
        <v>진행 예정</v>
      </c>
      <c r="AF53" s="25" t="str">
        <f t="shared" si="23"/>
        <v>진행 예정</v>
      </c>
      <c r="AG53" s="25" t="str">
        <f t="shared" si="24"/>
        <v>진행 예정</v>
      </c>
      <c r="AH53" s="25" t="str">
        <f t="shared" si="25"/>
        <v>진행 예정</v>
      </c>
      <c r="AI53" s="25" t="str">
        <f t="shared" si="26"/>
        <v>진행 예정</v>
      </c>
      <c r="AJ53" s="25" t="str">
        <f t="shared" si="27"/>
        <v>진행 예정</v>
      </c>
      <c r="AK53" s="25" t="str">
        <f t="shared" si="28"/>
        <v>진행 예정</v>
      </c>
      <c r="AL53" s="25" t="str">
        <f t="shared" si="29"/>
        <v>진행 예정</v>
      </c>
      <c r="AM53" s="25" t="str">
        <f t="shared" si="30"/>
        <v>진행 예정</v>
      </c>
      <c r="AN53" s="25" t="str">
        <f t="shared" si="31"/>
        <v>진행 예정</v>
      </c>
      <c r="AO53" s="25" t="str">
        <f t="shared" si="32"/>
        <v>진행 예정</v>
      </c>
      <c r="AP53" s="25" t="str">
        <f t="shared" si="33"/>
        <v>진행 예정</v>
      </c>
      <c r="AQ53" s="25" t="str">
        <f t="shared" si="34"/>
        <v>진행 예정</v>
      </c>
      <c r="AR53" s="25" t="str">
        <f t="shared" si="35"/>
        <v>진행 예정</v>
      </c>
      <c r="AS53" s="25" t="str">
        <f t="shared" si="36"/>
        <v>진행 예정</v>
      </c>
      <c r="AT53" s="25" t="str">
        <f t="shared" si="37"/>
        <v>진행 예정</v>
      </c>
      <c r="AU53" s="25" t="str">
        <f t="shared" si="38"/>
        <v>진행 예정</v>
      </c>
      <c r="AV53" s="25" t="str">
        <f t="shared" si="39"/>
        <v>진행 예정</v>
      </c>
      <c r="AW53" s="25" t="str">
        <f t="shared" si="40"/>
        <v>진행 예정</v>
      </c>
      <c r="AX53" s="14" t="str">
        <f t="shared" si="41"/>
        <v/>
      </c>
      <c r="AY53" s="14" t="str">
        <f t="shared" si="42"/>
        <v/>
      </c>
      <c r="AZ53" s="14" t="str">
        <f t="shared" si="43"/>
        <v/>
      </c>
      <c r="BA53" s="14" t="str">
        <f t="shared" si="44"/>
        <v/>
      </c>
      <c r="BB53" s="14" t="str">
        <f t="shared" si="45"/>
        <v/>
      </c>
      <c r="BC53" s="14" t="str">
        <f t="shared" si="46"/>
        <v/>
      </c>
      <c r="BD53" s="14" t="str">
        <f t="shared" si="47"/>
        <v/>
      </c>
      <c r="BE53" s="14" t="str">
        <f t="shared" si="48"/>
        <v/>
      </c>
      <c r="BF53" s="14" t="str">
        <f t="shared" si="49"/>
        <v/>
      </c>
      <c r="BG53" s="14" t="str">
        <f t="shared" si="50"/>
        <v/>
      </c>
      <c r="BH53" s="14" t="str">
        <f t="shared" si="51"/>
        <v/>
      </c>
      <c r="BI53" s="14" t="str">
        <f t="shared" si="52"/>
        <v/>
      </c>
      <c r="BJ53" s="14" t="str">
        <f t="shared" si="53"/>
        <v/>
      </c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 ht="15.75" customHeight="1">
      <c r="A54" s="16" t="s">
        <v>148</v>
      </c>
      <c r="D54" s="18" t="s">
        <v>149</v>
      </c>
      <c r="E54" s="18" t="s">
        <v>78</v>
      </c>
      <c r="F54" s="23" t="s">
        <v>27</v>
      </c>
      <c r="G54" s="12">
        <v>45859.0</v>
      </c>
      <c r="H54" s="12">
        <v>45877.0</v>
      </c>
      <c r="I54" s="24"/>
      <c r="J54" s="14" t="str">
        <f t="shared" si="54"/>
        <v/>
      </c>
      <c r="K54" s="14" t="str">
        <f t="shared" si="55"/>
        <v/>
      </c>
      <c r="L54" s="14" t="str">
        <f t="shared" si="3"/>
        <v/>
      </c>
      <c r="M54" s="14" t="str">
        <f t="shared" si="4"/>
        <v/>
      </c>
      <c r="N54" s="14" t="str">
        <f t="shared" si="5"/>
        <v/>
      </c>
      <c r="O54" s="14" t="str">
        <f t="shared" si="6"/>
        <v/>
      </c>
      <c r="P54" s="14" t="str">
        <f t="shared" si="7"/>
        <v/>
      </c>
      <c r="Q54" s="14" t="str">
        <f t="shared" si="8"/>
        <v/>
      </c>
      <c r="R54" s="14" t="str">
        <f t="shared" si="9"/>
        <v/>
      </c>
      <c r="S54" s="14" t="str">
        <f t="shared" si="10"/>
        <v/>
      </c>
      <c r="T54" s="14" t="str">
        <f t="shared" si="11"/>
        <v/>
      </c>
      <c r="U54" s="14" t="str">
        <f t="shared" si="12"/>
        <v/>
      </c>
      <c r="V54" s="14" t="str">
        <f t="shared" si="13"/>
        <v/>
      </c>
      <c r="W54" s="14" t="str">
        <f t="shared" si="14"/>
        <v/>
      </c>
      <c r="X54" s="14" t="str">
        <f t="shared" si="15"/>
        <v/>
      </c>
      <c r="Y54" s="14" t="str">
        <f t="shared" si="16"/>
        <v/>
      </c>
      <c r="Z54" s="14" t="str">
        <f t="shared" si="17"/>
        <v/>
      </c>
      <c r="AA54" s="14" t="str">
        <f t="shared" si="18"/>
        <v/>
      </c>
      <c r="AB54" s="14" t="str">
        <f t="shared" si="19"/>
        <v/>
      </c>
      <c r="AC54" s="14" t="str">
        <f t="shared" si="20"/>
        <v/>
      </c>
      <c r="AD54" s="14" t="str">
        <f t="shared" si="21"/>
        <v/>
      </c>
      <c r="AE54" s="25" t="str">
        <f t="shared" si="22"/>
        <v>진행 예정</v>
      </c>
      <c r="AF54" s="25" t="str">
        <f t="shared" si="23"/>
        <v>진행 예정</v>
      </c>
      <c r="AG54" s="25" t="str">
        <f t="shared" si="24"/>
        <v>진행 예정</v>
      </c>
      <c r="AH54" s="25" t="str">
        <f t="shared" si="25"/>
        <v>진행 예정</v>
      </c>
      <c r="AI54" s="25" t="str">
        <f t="shared" si="26"/>
        <v>진행 예정</v>
      </c>
      <c r="AJ54" s="25" t="str">
        <f t="shared" si="27"/>
        <v>진행 예정</v>
      </c>
      <c r="AK54" s="25" t="str">
        <f t="shared" si="28"/>
        <v>진행 예정</v>
      </c>
      <c r="AL54" s="25" t="str">
        <f t="shared" si="29"/>
        <v>진행 예정</v>
      </c>
      <c r="AM54" s="25" t="str">
        <f t="shared" si="30"/>
        <v>진행 예정</v>
      </c>
      <c r="AN54" s="25" t="str">
        <f t="shared" si="31"/>
        <v>진행 예정</v>
      </c>
      <c r="AO54" s="25" t="str">
        <f t="shared" si="32"/>
        <v>진행 예정</v>
      </c>
      <c r="AP54" s="25" t="str">
        <f t="shared" si="33"/>
        <v>진행 예정</v>
      </c>
      <c r="AQ54" s="25" t="str">
        <f t="shared" si="34"/>
        <v>진행 예정</v>
      </c>
      <c r="AR54" s="25" t="str">
        <f t="shared" si="35"/>
        <v>진행 예정</v>
      </c>
      <c r="AS54" s="25" t="str">
        <f t="shared" si="36"/>
        <v>진행 예정</v>
      </c>
      <c r="AT54" s="25" t="str">
        <f t="shared" si="37"/>
        <v>진행 예정</v>
      </c>
      <c r="AU54" s="25" t="str">
        <f t="shared" si="38"/>
        <v>진행 예정</v>
      </c>
      <c r="AV54" s="25" t="str">
        <f t="shared" si="39"/>
        <v>진행 예정</v>
      </c>
      <c r="AW54" s="25" t="str">
        <f t="shared" si="40"/>
        <v>진행 예정</v>
      </c>
      <c r="AX54" s="14" t="str">
        <f t="shared" si="41"/>
        <v/>
      </c>
      <c r="AY54" s="14" t="str">
        <f t="shared" si="42"/>
        <v/>
      </c>
      <c r="AZ54" s="14" t="str">
        <f t="shared" si="43"/>
        <v/>
      </c>
      <c r="BA54" s="14" t="str">
        <f t="shared" si="44"/>
        <v/>
      </c>
      <c r="BB54" s="14" t="str">
        <f t="shared" si="45"/>
        <v/>
      </c>
      <c r="BC54" s="14" t="str">
        <f t="shared" si="46"/>
        <v/>
      </c>
      <c r="BD54" s="14" t="str">
        <f t="shared" si="47"/>
        <v/>
      </c>
      <c r="BE54" s="14" t="str">
        <f t="shared" si="48"/>
        <v/>
      </c>
      <c r="BF54" s="14" t="str">
        <f t="shared" si="49"/>
        <v/>
      </c>
      <c r="BG54" s="14" t="str">
        <f t="shared" si="50"/>
        <v/>
      </c>
      <c r="BH54" s="14" t="str">
        <f t="shared" si="51"/>
        <v/>
      </c>
      <c r="BI54" s="14" t="str">
        <f t="shared" si="52"/>
        <v/>
      </c>
      <c r="BJ54" s="14" t="str">
        <f t="shared" si="53"/>
        <v/>
      </c>
      <c r="BK54" s="7"/>
      <c r="BL54" s="7"/>
      <c r="BM54" s="7"/>
      <c r="BN54" s="7"/>
      <c r="BO54" s="7"/>
      <c r="BP54" s="7"/>
      <c r="BQ54" s="7"/>
      <c r="BR54" s="7"/>
      <c r="BS54" s="7"/>
      <c r="BT54" s="7"/>
    </row>
    <row r="55" ht="15.75" customHeight="1">
      <c r="A55" s="16" t="s">
        <v>150</v>
      </c>
      <c r="D55" s="18" t="s">
        <v>151</v>
      </c>
      <c r="E55" s="18" t="s">
        <v>59</v>
      </c>
      <c r="F55" s="23" t="s">
        <v>27</v>
      </c>
      <c r="G55" s="12">
        <v>45859.0</v>
      </c>
      <c r="H55" s="12">
        <v>45877.0</v>
      </c>
      <c r="I55" s="24"/>
      <c r="J55" s="14" t="str">
        <f t="shared" si="54"/>
        <v/>
      </c>
      <c r="K55" s="14" t="str">
        <f t="shared" si="55"/>
        <v/>
      </c>
      <c r="L55" s="14" t="str">
        <f t="shared" si="3"/>
        <v/>
      </c>
      <c r="M55" s="14" t="str">
        <f t="shared" si="4"/>
        <v/>
      </c>
      <c r="N55" s="14" t="str">
        <f t="shared" si="5"/>
        <v/>
      </c>
      <c r="O55" s="14" t="str">
        <f t="shared" si="6"/>
        <v/>
      </c>
      <c r="P55" s="14" t="str">
        <f t="shared" si="7"/>
        <v/>
      </c>
      <c r="Q55" s="14" t="str">
        <f t="shared" si="8"/>
        <v/>
      </c>
      <c r="R55" s="14" t="str">
        <f t="shared" si="9"/>
        <v/>
      </c>
      <c r="S55" s="14" t="str">
        <f t="shared" si="10"/>
        <v/>
      </c>
      <c r="T55" s="14" t="str">
        <f t="shared" si="11"/>
        <v/>
      </c>
      <c r="U55" s="14" t="str">
        <f t="shared" si="12"/>
        <v/>
      </c>
      <c r="V55" s="14" t="str">
        <f t="shared" si="13"/>
        <v/>
      </c>
      <c r="W55" s="14" t="str">
        <f t="shared" si="14"/>
        <v/>
      </c>
      <c r="X55" s="14" t="str">
        <f t="shared" si="15"/>
        <v/>
      </c>
      <c r="Y55" s="14" t="str">
        <f t="shared" si="16"/>
        <v/>
      </c>
      <c r="Z55" s="14" t="str">
        <f t="shared" si="17"/>
        <v/>
      </c>
      <c r="AA55" s="14" t="str">
        <f t="shared" si="18"/>
        <v/>
      </c>
      <c r="AB55" s="14" t="str">
        <f t="shared" si="19"/>
        <v/>
      </c>
      <c r="AC55" s="14" t="str">
        <f t="shared" si="20"/>
        <v/>
      </c>
      <c r="AD55" s="14" t="str">
        <f t="shared" si="21"/>
        <v/>
      </c>
      <c r="AE55" s="25" t="str">
        <f t="shared" si="22"/>
        <v>진행 예정</v>
      </c>
      <c r="AF55" s="25" t="str">
        <f t="shared" si="23"/>
        <v>진행 예정</v>
      </c>
      <c r="AG55" s="25" t="str">
        <f t="shared" si="24"/>
        <v>진행 예정</v>
      </c>
      <c r="AH55" s="25" t="str">
        <f t="shared" si="25"/>
        <v>진행 예정</v>
      </c>
      <c r="AI55" s="25" t="str">
        <f t="shared" si="26"/>
        <v>진행 예정</v>
      </c>
      <c r="AJ55" s="25" t="str">
        <f t="shared" si="27"/>
        <v>진행 예정</v>
      </c>
      <c r="AK55" s="25" t="str">
        <f t="shared" si="28"/>
        <v>진행 예정</v>
      </c>
      <c r="AL55" s="25" t="str">
        <f t="shared" si="29"/>
        <v>진행 예정</v>
      </c>
      <c r="AM55" s="25" t="str">
        <f t="shared" si="30"/>
        <v>진행 예정</v>
      </c>
      <c r="AN55" s="25" t="str">
        <f t="shared" si="31"/>
        <v>진행 예정</v>
      </c>
      <c r="AO55" s="25" t="str">
        <f t="shared" si="32"/>
        <v>진행 예정</v>
      </c>
      <c r="AP55" s="25" t="str">
        <f t="shared" si="33"/>
        <v>진행 예정</v>
      </c>
      <c r="AQ55" s="25" t="str">
        <f t="shared" si="34"/>
        <v>진행 예정</v>
      </c>
      <c r="AR55" s="25" t="str">
        <f t="shared" si="35"/>
        <v>진행 예정</v>
      </c>
      <c r="AS55" s="25" t="str">
        <f t="shared" si="36"/>
        <v>진행 예정</v>
      </c>
      <c r="AT55" s="25" t="str">
        <f t="shared" si="37"/>
        <v>진행 예정</v>
      </c>
      <c r="AU55" s="25" t="str">
        <f t="shared" si="38"/>
        <v>진행 예정</v>
      </c>
      <c r="AV55" s="25" t="str">
        <f t="shared" si="39"/>
        <v>진행 예정</v>
      </c>
      <c r="AW55" s="25" t="str">
        <f t="shared" si="40"/>
        <v>진행 예정</v>
      </c>
      <c r="AX55" s="14" t="str">
        <f t="shared" si="41"/>
        <v/>
      </c>
      <c r="AY55" s="14" t="str">
        <f t="shared" si="42"/>
        <v/>
      </c>
      <c r="AZ55" s="14" t="str">
        <f t="shared" si="43"/>
        <v/>
      </c>
      <c r="BA55" s="14" t="str">
        <f t="shared" si="44"/>
        <v/>
      </c>
      <c r="BB55" s="14" t="str">
        <f t="shared" si="45"/>
        <v/>
      </c>
      <c r="BC55" s="14" t="str">
        <f t="shared" si="46"/>
        <v/>
      </c>
      <c r="BD55" s="14" t="str">
        <f t="shared" si="47"/>
        <v/>
      </c>
      <c r="BE55" s="14" t="str">
        <f t="shared" si="48"/>
        <v/>
      </c>
      <c r="BF55" s="14" t="str">
        <f t="shared" si="49"/>
        <v/>
      </c>
      <c r="BG55" s="14" t="str">
        <f t="shared" si="50"/>
        <v/>
      </c>
      <c r="BH55" s="14" t="str">
        <f t="shared" si="51"/>
        <v/>
      </c>
      <c r="BI55" s="14" t="str">
        <f t="shared" si="52"/>
        <v/>
      </c>
      <c r="BJ55" s="14" t="str">
        <f t="shared" si="53"/>
        <v/>
      </c>
      <c r="BK55" s="7"/>
      <c r="BL55" s="7"/>
      <c r="BM55" s="7"/>
      <c r="BN55" s="7"/>
      <c r="BO55" s="7"/>
      <c r="BP55" s="7"/>
      <c r="BQ55" s="7"/>
      <c r="BR55" s="7"/>
      <c r="BS55" s="7"/>
      <c r="BT55" s="7"/>
    </row>
    <row r="56" ht="15.75" customHeight="1">
      <c r="A56" s="26" t="s">
        <v>152</v>
      </c>
      <c r="B56" s="27"/>
      <c r="C56" s="27"/>
      <c r="D56" s="47" t="s">
        <v>153</v>
      </c>
      <c r="E56" s="47" t="s">
        <v>73</v>
      </c>
      <c r="F56" s="29" t="s">
        <v>27</v>
      </c>
      <c r="G56" s="12">
        <v>45859.0</v>
      </c>
      <c r="H56" s="12">
        <v>45877.0</v>
      </c>
      <c r="I56" s="30"/>
      <c r="J56" s="14" t="str">
        <f t="shared" si="54"/>
        <v/>
      </c>
      <c r="K56" s="14" t="str">
        <f t="shared" si="55"/>
        <v/>
      </c>
      <c r="L56" s="14" t="str">
        <f t="shared" si="3"/>
        <v/>
      </c>
      <c r="M56" s="14" t="str">
        <f t="shared" si="4"/>
        <v/>
      </c>
      <c r="N56" s="14" t="str">
        <f t="shared" si="5"/>
        <v/>
      </c>
      <c r="O56" s="14" t="str">
        <f t="shared" si="6"/>
        <v/>
      </c>
      <c r="P56" s="14" t="str">
        <f t="shared" si="7"/>
        <v/>
      </c>
      <c r="Q56" s="14" t="str">
        <f t="shared" si="8"/>
        <v/>
      </c>
      <c r="R56" s="14" t="str">
        <f t="shared" si="9"/>
        <v/>
      </c>
      <c r="S56" s="14" t="str">
        <f t="shared" si="10"/>
        <v/>
      </c>
      <c r="T56" s="14" t="str">
        <f t="shared" si="11"/>
        <v/>
      </c>
      <c r="U56" s="14" t="str">
        <f t="shared" si="12"/>
        <v/>
      </c>
      <c r="V56" s="14" t="str">
        <f t="shared" si="13"/>
        <v/>
      </c>
      <c r="W56" s="14" t="str">
        <f t="shared" si="14"/>
        <v/>
      </c>
      <c r="X56" s="14" t="str">
        <f t="shared" si="15"/>
        <v/>
      </c>
      <c r="Y56" s="14" t="str">
        <f t="shared" si="16"/>
        <v/>
      </c>
      <c r="Z56" s="14" t="str">
        <f t="shared" si="17"/>
        <v/>
      </c>
      <c r="AA56" s="14" t="str">
        <f t="shared" si="18"/>
        <v/>
      </c>
      <c r="AB56" s="14" t="str">
        <f t="shared" si="19"/>
        <v/>
      </c>
      <c r="AC56" s="14" t="str">
        <f t="shared" si="20"/>
        <v/>
      </c>
      <c r="AD56" s="14" t="str">
        <f t="shared" si="21"/>
        <v/>
      </c>
      <c r="AE56" s="25" t="str">
        <f t="shared" si="22"/>
        <v>진행 예정</v>
      </c>
      <c r="AF56" s="25" t="str">
        <f t="shared" si="23"/>
        <v>진행 예정</v>
      </c>
      <c r="AG56" s="25" t="str">
        <f t="shared" si="24"/>
        <v>진행 예정</v>
      </c>
      <c r="AH56" s="25" t="str">
        <f t="shared" si="25"/>
        <v>진행 예정</v>
      </c>
      <c r="AI56" s="25" t="str">
        <f t="shared" si="26"/>
        <v>진행 예정</v>
      </c>
      <c r="AJ56" s="25" t="str">
        <f t="shared" si="27"/>
        <v>진행 예정</v>
      </c>
      <c r="AK56" s="25" t="str">
        <f t="shared" si="28"/>
        <v>진행 예정</v>
      </c>
      <c r="AL56" s="25" t="str">
        <f t="shared" si="29"/>
        <v>진행 예정</v>
      </c>
      <c r="AM56" s="25" t="str">
        <f t="shared" si="30"/>
        <v>진행 예정</v>
      </c>
      <c r="AN56" s="25" t="str">
        <f t="shared" si="31"/>
        <v>진행 예정</v>
      </c>
      <c r="AO56" s="25" t="str">
        <f t="shared" si="32"/>
        <v>진행 예정</v>
      </c>
      <c r="AP56" s="25" t="str">
        <f t="shared" si="33"/>
        <v>진행 예정</v>
      </c>
      <c r="AQ56" s="25" t="str">
        <f t="shared" si="34"/>
        <v>진행 예정</v>
      </c>
      <c r="AR56" s="25" t="str">
        <f t="shared" si="35"/>
        <v>진행 예정</v>
      </c>
      <c r="AS56" s="25" t="str">
        <f t="shared" si="36"/>
        <v>진행 예정</v>
      </c>
      <c r="AT56" s="25" t="str">
        <f t="shared" si="37"/>
        <v>진행 예정</v>
      </c>
      <c r="AU56" s="25" t="str">
        <f t="shared" si="38"/>
        <v>진행 예정</v>
      </c>
      <c r="AV56" s="25" t="str">
        <f t="shared" si="39"/>
        <v>진행 예정</v>
      </c>
      <c r="AW56" s="25" t="str">
        <f t="shared" si="40"/>
        <v>진행 예정</v>
      </c>
      <c r="AX56" s="14" t="str">
        <f t="shared" si="41"/>
        <v/>
      </c>
      <c r="AY56" s="14" t="str">
        <f t="shared" si="42"/>
        <v/>
      </c>
      <c r="AZ56" s="14" t="str">
        <f t="shared" si="43"/>
        <v/>
      </c>
      <c r="BA56" s="14" t="str">
        <f t="shared" si="44"/>
        <v/>
      </c>
      <c r="BB56" s="14" t="str">
        <f t="shared" si="45"/>
        <v/>
      </c>
      <c r="BC56" s="14" t="str">
        <f t="shared" si="46"/>
        <v/>
      </c>
      <c r="BD56" s="14" t="str">
        <f t="shared" si="47"/>
        <v/>
      </c>
      <c r="BE56" s="14" t="str">
        <f t="shared" si="48"/>
        <v/>
      </c>
      <c r="BF56" s="14" t="str">
        <f t="shared" si="49"/>
        <v/>
      </c>
      <c r="BG56" s="14" t="str">
        <f t="shared" si="50"/>
        <v/>
      </c>
      <c r="BH56" s="14" t="str">
        <f t="shared" si="51"/>
        <v/>
      </c>
      <c r="BI56" s="14" t="str">
        <f t="shared" si="52"/>
        <v/>
      </c>
      <c r="BJ56" s="14" t="str">
        <f t="shared" si="53"/>
        <v/>
      </c>
      <c r="BK56" s="7"/>
      <c r="BL56" s="7"/>
      <c r="BM56" s="7"/>
      <c r="BN56" s="7"/>
      <c r="BO56" s="7"/>
      <c r="BP56" s="7"/>
      <c r="BQ56" s="7"/>
      <c r="BR56" s="7"/>
      <c r="BS56" s="7"/>
      <c r="BT56" s="7"/>
    </row>
    <row r="57" ht="15.75" customHeight="1">
      <c r="A57" s="8" t="s">
        <v>154</v>
      </c>
      <c r="B57" s="31" t="s">
        <v>155</v>
      </c>
      <c r="C57" s="32" t="s">
        <v>156</v>
      </c>
      <c r="D57" s="11" t="s">
        <v>157</v>
      </c>
      <c r="E57" s="11" t="s">
        <v>32</v>
      </c>
      <c r="F57" s="34" t="s">
        <v>27</v>
      </c>
      <c r="G57" s="12">
        <v>45845.0</v>
      </c>
      <c r="H57" s="12">
        <v>45849.0</v>
      </c>
      <c r="I57" s="35"/>
      <c r="J57" s="14" t="str">
        <f t="shared" si="54"/>
        <v/>
      </c>
      <c r="K57" s="14" t="str">
        <f t="shared" si="55"/>
        <v/>
      </c>
      <c r="L57" s="14" t="str">
        <f t="shared" si="3"/>
        <v/>
      </c>
      <c r="M57" s="14" t="str">
        <f t="shared" si="4"/>
        <v/>
      </c>
      <c r="N57" s="14" t="str">
        <f t="shared" si="5"/>
        <v/>
      </c>
      <c r="O57" s="14" t="str">
        <f t="shared" si="6"/>
        <v/>
      </c>
      <c r="P57" s="14" t="str">
        <f t="shared" si="7"/>
        <v/>
      </c>
      <c r="Q57" s="25" t="str">
        <f t="shared" si="8"/>
        <v>진행 예정</v>
      </c>
      <c r="R57" s="25" t="str">
        <f t="shared" si="9"/>
        <v>진행 예정</v>
      </c>
      <c r="S57" s="25" t="str">
        <f t="shared" si="10"/>
        <v>진행 예정</v>
      </c>
      <c r="T57" s="25" t="str">
        <f t="shared" si="11"/>
        <v>진행 예정</v>
      </c>
      <c r="U57" s="25" t="str">
        <f t="shared" si="12"/>
        <v>진행 예정</v>
      </c>
      <c r="V57" s="14" t="str">
        <f t="shared" si="13"/>
        <v/>
      </c>
      <c r="W57" s="14" t="str">
        <f t="shared" si="14"/>
        <v/>
      </c>
      <c r="X57" s="14" t="str">
        <f t="shared" si="15"/>
        <v/>
      </c>
      <c r="Y57" s="14" t="str">
        <f t="shared" si="16"/>
        <v/>
      </c>
      <c r="Z57" s="14" t="str">
        <f t="shared" si="17"/>
        <v/>
      </c>
      <c r="AA57" s="14" t="str">
        <f t="shared" si="18"/>
        <v/>
      </c>
      <c r="AB57" s="14" t="str">
        <f t="shared" si="19"/>
        <v/>
      </c>
      <c r="AC57" s="14" t="str">
        <f t="shared" si="20"/>
        <v/>
      </c>
      <c r="AD57" s="14" t="str">
        <f t="shared" si="21"/>
        <v/>
      </c>
      <c r="AE57" s="14" t="str">
        <f t="shared" si="22"/>
        <v/>
      </c>
      <c r="AF57" s="14" t="str">
        <f t="shared" si="23"/>
        <v/>
      </c>
      <c r="AG57" s="14" t="str">
        <f t="shared" si="24"/>
        <v/>
      </c>
      <c r="AH57" s="14" t="str">
        <f t="shared" si="25"/>
        <v/>
      </c>
      <c r="AI57" s="14" t="str">
        <f t="shared" si="26"/>
        <v/>
      </c>
      <c r="AJ57" s="14" t="str">
        <f t="shared" si="27"/>
        <v/>
      </c>
      <c r="AK57" s="14" t="str">
        <f t="shared" si="28"/>
        <v/>
      </c>
      <c r="AL57" s="14" t="str">
        <f t="shared" si="29"/>
        <v/>
      </c>
      <c r="AM57" s="14" t="str">
        <f t="shared" si="30"/>
        <v/>
      </c>
      <c r="AN57" s="14" t="str">
        <f t="shared" si="31"/>
        <v/>
      </c>
      <c r="AO57" s="14" t="str">
        <f t="shared" si="32"/>
        <v/>
      </c>
      <c r="AP57" s="14" t="str">
        <f t="shared" si="33"/>
        <v/>
      </c>
      <c r="AQ57" s="14" t="str">
        <f t="shared" si="34"/>
        <v/>
      </c>
      <c r="AR57" s="14" t="str">
        <f t="shared" si="35"/>
        <v/>
      </c>
      <c r="AS57" s="14" t="str">
        <f t="shared" si="36"/>
        <v/>
      </c>
      <c r="AT57" s="14" t="str">
        <f t="shared" si="37"/>
        <v/>
      </c>
      <c r="AU57" s="14" t="str">
        <f t="shared" si="38"/>
        <v/>
      </c>
      <c r="AV57" s="14" t="str">
        <f t="shared" si="39"/>
        <v/>
      </c>
      <c r="AW57" s="14" t="str">
        <f t="shared" si="40"/>
        <v/>
      </c>
      <c r="AX57" s="14" t="str">
        <f t="shared" si="41"/>
        <v/>
      </c>
      <c r="AY57" s="14" t="str">
        <f t="shared" si="42"/>
        <v/>
      </c>
      <c r="AZ57" s="14" t="str">
        <f t="shared" si="43"/>
        <v/>
      </c>
      <c r="BA57" s="14" t="str">
        <f t="shared" si="44"/>
        <v/>
      </c>
      <c r="BB57" s="14" t="str">
        <f t="shared" si="45"/>
        <v/>
      </c>
      <c r="BC57" s="14" t="str">
        <f t="shared" si="46"/>
        <v/>
      </c>
      <c r="BD57" s="14" t="str">
        <f t="shared" si="47"/>
        <v/>
      </c>
      <c r="BE57" s="14" t="str">
        <f t="shared" si="48"/>
        <v/>
      </c>
      <c r="BF57" s="14" t="str">
        <f t="shared" si="49"/>
        <v/>
      </c>
      <c r="BG57" s="14" t="str">
        <f t="shared" si="50"/>
        <v/>
      </c>
      <c r="BH57" s="14" t="str">
        <f t="shared" si="51"/>
        <v/>
      </c>
      <c r="BI57" s="14" t="str">
        <f t="shared" si="52"/>
        <v/>
      </c>
      <c r="BJ57" s="14" t="str">
        <f t="shared" si="53"/>
        <v/>
      </c>
      <c r="BK57" s="7"/>
      <c r="BL57" s="7"/>
      <c r="BM57" s="7"/>
      <c r="BN57" s="7"/>
      <c r="BO57" s="7"/>
      <c r="BP57" s="7"/>
      <c r="BQ57" s="7"/>
      <c r="BR57" s="7"/>
      <c r="BS57" s="7"/>
      <c r="BT57" s="7"/>
    </row>
    <row r="58" ht="15.75" customHeight="1">
      <c r="A58" s="16" t="s">
        <v>158</v>
      </c>
      <c r="D58" s="18" t="s">
        <v>159</v>
      </c>
      <c r="E58" s="18" t="s">
        <v>160</v>
      </c>
      <c r="F58" s="23" t="s">
        <v>27</v>
      </c>
      <c r="G58" s="12">
        <v>45845.0</v>
      </c>
      <c r="H58" s="12">
        <v>45849.0</v>
      </c>
      <c r="I58" s="24"/>
      <c r="J58" s="14" t="str">
        <f t="shared" si="54"/>
        <v/>
      </c>
      <c r="K58" s="14" t="str">
        <f t="shared" si="55"/>
        <v/>
      </c>
      <c r="L58" s="14" t="str">
        <f t="shared" si="3"/>
        <v/>
      </c>
      <c r="M58" s="14" t="str">
        <f t="shared" si="4"/>
        <v/>
      </c>
      <c r="N58" s="14" t="str">
        <f t="shared" si="5"/>
        <v/>
      </c>
      <c r="O58" s="14" t="str">
        <f t="shared" si="6"/>
        <v/>
      </c>
      <c r="P58" s="14" t="str">
        <f t="shared" si="7"/>
        <v/>
      </c>
      <c r="Q58" s="25" t="str">
        <f t="shared" si="8"/>
        <v>진행 예정</v>
      </c>
      <c r="R58" s="25" t="str">
        <f t="shared" si="9"/>
        <v>진행 예정</v>
      </c>
      <c r="S58" s="25" t="str">
        <f t="shared" si="10"/>
        <v>진행 예정</v>
      </c>
      <c r="T58" s="25" t="str">
        <f t="shared" si="11"/>
        <v>진행 예정</v>
      </c>
      <c r="U58" s="25" t="str">
        <f t="shared" si="12"/>
        <v>진행 예정</v>
      </c>
      <c r="V58" s="14" t="str">
        <f t="shared" si="13"/>
        <v/>
      </c>
      <c r="W58" s="14" t="str">
        <f t="shared" si="14"/>
        <v/>
      </c>
      <c r="X58" s="14" t="str">
        <f t="shared" si="15"/>
        <v/>
      </c>
      <c r="Y58" s="14" t="str">
        <f t="shared" si="16"/>
        <v/>
      </c>
      <c r="Z58" s="14" t="str">
        <f t="shared" si="17"/>
        <v/>
      </c>
      <c r="AA58" s="14" t="str">
        <f t="shared" si="18"/>
        <v/>
      </c>
      <c r="AB58" s="14" t="str">
        <f t="shared" si="19"/>
        <v/>
      </c>
      <c r="AC58" s="14" t="str">
        <f t="shared" si="20"/>
        <v/>
      </c>
      <c r="AD58" s="14" t="str">
        <f t="shared" si="21"/>
        <v/>
      </c>
      <c r="AE58" s="14" t="str">
        <f t="shared" si="22"/>
        <v/>
      </c>
      <c r="AF58" s="14" t="str">
        <f t="shared" si="23"/>
        <v/>
      </c>
      <c r="AG58" s="14" t="str">
        <f t="shared" si="24"/>
        <v/>
      </c>
      <c r="AH58" s="14" t="str">
        <f t="shared" si="25"/>
        <v/>
      </c>
      <c r="AI58" s="14" t="str">
        <f t="shared" si="26"/>
        <v/>
      </c>
      <c r="AJ58" s="14" t="str">
        <f t="shared" si="27"/>
        <v/>
      </c>
      <c r="AK58" s="14" t="str">
        <f t="shared" si="28"/>
        <v/>
      </c>
      <c r="AL58" s="14" t="str">
        <f t="shared" si="29"/>
        <v/>
      </c>
      <c r="AM58" s="14" t="str">
        <f t="shared" si="30"/>
        <v/>
      </c>
      <c r="AN58" s="14" t="str">
        <f t="shared" si="31"/>
        <v/>
      </c>
      <c r="AO58" s="14" t="str">
        <f t="shared" si="32"/>
        <v/>
      </c>
      <c r="AP58" s="14" t="str">
        <f t="shared" si="33"/>
        <v/>
      </c>
      <c r="AQ58" s="14" t="str">
        <f t="shared" si="34"/>
        <v/>
      </c>
      <c r="AR58" s="14" t="str">
        <f t="shared" si="35"/>
        <v/>
      </c>
      <c r="AS58" s="14" t="str">
        <f t="shared" si="36"/>
        <v/>
      </c>
      <c r="AT58" s="14" t="str">
        <f t="shared" si="37"/>
        <v/>
      </c>
      <c r="AU58" s="14" t="str">
        <f t="shared" si="38"/>
        <v/>
      </c>
      <c r="AV58" s="14" t="str">
        <f t="shared" si="39"/>
        <v/>
      </c>
      <c r="AW58" s="14" t="str">
        <f t="shared" si="40"/>
        <v/>
      </c>
      <c r="AX58" s="14" t="str">
        <f t="shared" si="41"/>
        <v/>
      </c>
      <c r="AY58" s="14" t="str">
        <f t="shared" si="42"/>
        <v/>
      </c>
      <c r="AZ58" s="14" t="str">
        <f t="shared" si="43"/>
        <v/>
      </c>
      <c r="BA58" s="14" t="str">
        <f t="shared" si="44"/>
        <v/>
      </c>
      <c r="BB58" s="14" t="str">
        <f t="shared" si="45"/>
        <v/>
      </c>
      <c r="BC58" s="14" t="str">
        <f t="shared" si="46"/>
        <v/>
      </c>
      <c r="BD58" s="14" t="str">
        <f t="shared" si="47"/>
        <v/>
      </c>
      <c r="BE58" s="14" t="str">
        <f t="shared" si="48"/>
        <v/>
      </c>
      <c r="BF58" s="14" t="str">
        <f t="shared" si="49"/>
        <v/>
      </c>
      <c r="BG58" s="14" t="str">
        <f t="shared" si="50"/>
        <v/>
      </c>
      <c r="BH58" s="14" t="str">
        <f t="shared" si="51"/>
        <v/>
      </c>
      <c r="BI58" s="14" t="str">
        <f t="shared" si="52"/>
        <v/>
      </c>
      <c r="BJ58" s="14" t="str">
        <f t="shared" si="53"/>
        <v/>
      </c>
      <c r="BK58" s="7"/>
      <c r="BL58" s="7"/>
      <c r="BM58" s="7"/>
      <c r="BN58" s="7"/>
      <c r="BO58" s="7"/>
      <c r="BP58" s="7"/>
      <c r="BQ58" s="7"/>
      <c r="BR58" s="7"/>
      <c r="BS58" s="7"/>
      <c r="BT58" s="7"/>
    </row>
    <row r="59" ht="15.75" customHeight="1">
      <c r="A59" s="16" t="s">
        <v>161</v>
      </c>
      <c r="D59" s="18" t="s">
        <v>162</v>
      </c>
      <c r="E59" s="18" t="s">
        <v>32</v>
      </c>
      <c r="F59" s="23" t="s">
        <v>27</v>
      </c>
      <c r="G59" s="12">
        <v>45845.0</v>
      </c>
      <c r="H59" s="12">
        <v>45849.0</v>
      </c>
      <c r="I59" s="24"/>
      <c r="J59" s="14" t="str">
        <f t="shared" si="54"/>
        <v/>
      </c>
      <c r="K59" s="14" t="str">
        <f t="shared" si="55"/>
        <v/>
      </c>
      <c r="L59" s="14" t="str">
        <f t="shared" si="3"/>
        <v/>
      </c>
      <c r="M59" s="14" t="str">
        <f t="shared" si="4"/>
        <v/>
      </c>
      <c r="N59" s="14" t="str">
        <f t="shared" si="5"/>
        <v/>
      </c>
      <c r="O59" s="14" t="str">
        <f t="shared" si="6"/>
        <v/>
      </c>
      <c r="P59" s="14" t="str">
        <f t="shared" si="7"/>
        <v/>
      </c>
      <c r="Q59" s="25" t="str">
        <f t="shared" si="8"/>
        <v>진행 예정</v>
      </c>
      <c r="R59" s="25" t="str">
        <f t="shared" si="9"/>
        <v>진행 예정</v>
      </c>
      <c r="S59" s="25" t="str">
        <f t="shared" si="10"/>
        <v>진행 예정</v>
      </c>
      <c r="T59" s="25" t="str">
        <f t="shared" si="11"/>
        <v>진행 예정</v>
      </c>
      <c r="U59" s="25" t="str">
        <f t="shared" si="12"/>
        <v>진행 예정</v>
      </c>
      <c r="V59" s="14" t="str">
        <f t="shared" si="13"/>
        <v/>
      </c>
      <c r="W59" s="14" t="str">
        <f t="shared" si="14"/>
        <v/>
      </c>
      <c r="X59" s="14" t="str">
        <f t="shared" si="15"/>
        <v/>
      </c>
      <c r="Y59" s="14" t="str">
        <f t="shared" si="16"/>
        <v/>
      </c>
      <c r="Z59" s="14" t="str">
        <f t="shared" si="17"/>
        <v/>
      </c>
      <c r="AA59" s="14" t="str">
        <f t="shared" si="18"/>
        <v/>
      </c>
      <c r="AB59" s="14" t="str">
        <f t="shared" si="19"/>
        <v/>
      </c>
      <c r="AC59" s="14" t="str">
        <f t="shared" si="20"/>
        <v/>
      </c>
      <c r="AD59" s="14" t="str">
        <f t="shared" si="21"/>
        <v/>
      </c>
      <c r="AE59" s="14" t="str">
        <f t="shared" si="22"/>
        <v/>
      </c>
      <c r="AF59" s="14" t="str">
        <f t="shared" si="23"/>
        <v/>
      </c>
      <c r="AG59" s="14" t="str">
        <f t="shared" si="24"/>
        <v/>
      </c>
      <c r="AH59" s="14" t="str">
        <f t="shared" si="25"/>
        <v/>
      </c>
      <c r="AI59" s="14" t="str">
        <f t="shared" si="26"/>
        <v/>
      </c>
      <c r="AJ59" s="14" t="str">
        <f t="shared" si="27"/>
        <v/>
      </c>
      <c r="AK59" s="14" t="str">
        <f t="shared" si="28"/>
        <v/>
      </c>
      <c r="AL59" s="14" t="str">
        <f t="shared" si="29"/>
        <v/>
      </c>
      <c r="AM59" s="14" t="str">
        <f t="shared" si="30"/>
        <v/>
      </c>
      <c r="AN59" s="14" t="str">
        <f t="shared" si="31"/>
        <v/>
      </c>
      <c r="AO59" s="14" t="str">
        <f t="shared" si="32"/>
        <v/>
      </c>
      <c r="AP59" s="14" t="str">
        <f t="shared" si="33"/>
        <v/>
      </c>
      <c r="AQ59" s="14" t="str">
        <f t="shared" si="34"/>
        <v/>
      </c>
      <c r="AR59" s="14" t="str">
        <f t="shared" si="35"/>
        <v/>
      </c>
      <c r="AS59" s="14" t="str">
        <f t="shared" si="36"/>
        <v/>
      </c>
      <c r="AT59" s="14" t="str">
        <f t="shared" si="37"/>
        <v/>
      </c>
      <c r="AU59" s="14" t="str">
        <f t="shared" si="38"/>
        <v/>
      </c>
      <c r="AV59" s="14" t="str">
        <f t="shared" si="39"/>
        <v/>
      </c>
      <c r="AW59" s="14" t="str">
        <f t="shared" si="40"/>
        <v/>
      </c>
      <c r="AX59" s="14" t="str">
        <f t="shared" si="41"/>
        <v/>
      </c>
      <c r="AY59" s="14" t="str">
        <f t="shared" si="42"/>
        <v/>
      </c>
      <c r="AZ59" s="14" t="str">
        <f t="shared" si="43"/>
        <v/>
      </c>
      <c r="BA59" s="14" t="str">
        <f t="shared" si="44"/>
        <v/>
      </c>
      <c r="BB59" s="14" t="str">
        <f t="shared" si="45"/>
        <v/>
      </c>
      <c r="BC59" s="14" t="str">
        <f t="shared" si="46"/>
        <v/>
      </c>
      <c r="BD59" s="14" t="str">
        <f t="shared" si="47"/>
        <v/>
      </c>
      <c r="BE59" s="14" t="str">
        <f t="shared" si="48"/>
        <v/>
      </c>
      <c r="BF59" s="14" t="str">
        <f t="shared" si="49"/>
        <v/>
      </c>
      <c r="BG59" s="14" t="str">
        <f t="shared" si="50"/>
        <v/>
      </c>
      <c r="BH59" s="14" t="str">
        <f t="shared" si="51"/>
        <v/>
      </c>
      <c r="BI59" s="14" t="str">
        <f t="shared" si="52"/>
        <v/>
      </c>
      <c r="BJ59" s="14" t="str">
        <f t="shared" si="53"/>
        <v/>
      </c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 ht="15.75" customHeight="1">
      <c r="A60" s="16" t="s">
        <v>163</v>
      </c>
      <c r="D60" s="18" t="s">
        <v>164</v>
      </c>
      <c r="E60" s="18" t="s">
        <v>32</v>
      </c>
      <c r="F60" s="23" t="s">
        <v>27</v>
      </c>
      <c r="G60" s="12">
        <v>45852.0</v>
      </c>
      <c r="H60" s="12">
        <v>45856.0</v>
      </c>
      <c r="I60" s="24"/>
      <c r="J60" s="14" t="str">
        <f t="shared" si="54"/>
        <v/>
      </c>
      <c r="K60" s="14" t="str">
        <f t="shared" si="55"/>
        <v/>
      </c>
      <c r="L60" s="14" t="str">
        <f t="shared" si="3"/>
        <v/>
      </c>
      <c r="M60" s="14" t="str">
        <f t="shared" si="4"/>
        <v/>
      </c>
      <c r="N60" s="14" t="str">
        <f t="shared" si="5"/>
        <v/>
      </c>
      <c r="O60" s="14" t="str">
        <f t="shared" si="6"/>
        <v/>
      </c>
      <c r="P60" s="14" t="str">
        <f t="shared" si="7"/>
        <v/>
      </c>
      <c r="Q60" s="14" t="str">
        <f t="shared" si="8"/>
        <v/>
      </c>
      <c r="R60" s="14" t="str">
        <f t="shared" si="9"/>
        <v/>
      </c>
      <c r="S60" s="14" t="str">
        <f t="shared" si="10"/>
        <v/>
      </c>
      <c r="T60" s="14" t="str">
        <f t="shared" si="11"/>
        <v/>
      </c>
      <c r="U60" s="14" t="str">
        <f t="shared" si="12"/>
        <v/>
      </c>
      <c r="V60" s="14" t="str">
        <f t="shared" si="13"/>
        <v/>
      </c>
      <c r="W60" s="14" t="str">
        <f t="shared" si="14"/>
        <v/>
      </c>
      <c r="X60" s="25" t="str">
        <f t="shared" si="15"/>
        <v>진행 예정</v>
      </c>
      <c r="Y60" s="25" t="str">
        <f t="shared" si="16"/>
        <v>진행 예정</v>
      </c>
      <c r="Z60" s="25" t="str">
        <f t="shared" si="17"/>
        <v>진행 예정</v>
      </c>
      <c r="AA60" s="25" t="str">
        <f t="shared" si="18"/>
        <v>진행 예정</v>
      </c>
      <c r="AB60" s="25" t="str">
        <f t="shared" si="19"/>
        <v>진행 예정</v>
      </c>
      <c r="AC60" s="14" t="str">
        <f t="shared" si="20"/>
        <v/>
      </c>
      <c r="AD60" s="14" t="str">
        <f t="shared" si="21"/>
        <v/>
      </c>
      <c r="AE60" s="14" t="str">
        <f t="shared" si="22"/>
        <v/>
      </c>
      <c r="AF60" s="14" t="str">
        <f t="shared" si="23"/>
        <v/>
      </c>
      <c r="AG60" s="14" t="str">
        <f t="shared" si="24"/>
        <v/>
      </c>
      <c r="AH60" s="14" t="str">
        <f t="shared" si="25"/>
        <v/>
      </c>
      <c r="AI60" s="14" t="str">
        <f t="shared" si="26"/>
        <v/>
      </c>
      <c r="AJ60" s="14" t="str">
        <f t="shared" si="27"/>
        <v/>
      </c>
      <c r="AK60" s="14" t="str">
        <f t="shared" si="28"/>
        <v/>
      </c>
      <c r="AL60" s="14" t="str">
        <f t="shared" si="29"/>
        <v/>
      </c>
      <c r="AM60" s="14" t="str">
        <f t="shared" si="30"/>
        <v/>
      </c>
      <c r="AN60" s="14" t="str">
        <f t="shared" si="31"/>
        <v/>
      </c>
      <c r="AO60" s="14" t="str">
        <f t="shared" si="32"/>
        <v/>
      </c>
      <c r="AP60" s="14" t="str">
        <f t="shared" si="33"/>
        <v/>
      </c>
      <c r="AQ60" s="14" t="str">
        <f t="shared" si="34"/>
        <v/>
      </c>
      <c r="AR60" s="14" t="str">
        <f t="shared" si="35"/>
        <v/>
      </c>
      <c r="AS60" s="14" t="str">
        <f t="shared" si="36"/>
        <v/>
      </c>
      <c r="AT60" s="14" t="str">
        <f t="shared" si="37"/>
        <v/>
      </c>
      <c r="AU60" s="14" t="str">
        <f t="shared" si="38"/>
        <v/>
      </c>
      <c r="AV60" s="14" t="str">
        <f t="shared" si="39"/>
        <v/>
      </c>
      <c r="AW60" s="14" t="str">
        <f t="shared" si="40"/>
        <v/>
      </c>
      <c r="AX60" s="14" t="str">
        <f t="shared" si="41"/>
        <v/>
      </c>
      <c r="AY60" s="14" t="str">
        <f t="shared" si="42"/>
        <v/>
      </c>
      <c r="AZ60" s="14" t="str">
        <f t="shared" si="43"/>
        <v/>
      </c>
      <c r="BA60" s="14" t="str">
        <f t="shared" si="44"/>
        <v/>
      </c>
      <c r="BB60" s="14" t="str">
        <f t="shared" si="45"/>
        <v/>
      </c>
      <c r="BC60" s="14" t="str">
        <f t="shared" si="46"/>
        <v/>
      </c>
      <c r="BD60" s="14" t="str">
        <f t="shared" si="47"/>
        <v/>
      </c>
      <c r="BE60" s="14" t="str">
        <f t="shared" si="48"/>
        <v/>
      </c>
      <c r="BF60" s="14" t="str">
        <f t="shared" si="49"/>
        <v/>
      </c>
      <c r="BG60" s="14" t="str">
        <f t="shared" si="50"/>
        <v/>
      </c>
      <c r="BH60" s="14" t="str">
        <f t="shared" si="51"/>
        <v/>
      </c>
      <c r="BI60" s="14" t="str">
        <f t="shared" si="52"/>
        <v/>
      </c>
      <c r="BJ60" s="14" t="str">
        <f t="shared" si="53"/>
        <v/>
      </c>
      <c r="BK60" s="7"/>
      <c r="BL60" s="7"/>
      <c r="BM60" s="7"/>
      <c r="BN60" s="7"/>
      <c r="BO60" s="7"/>
      <c r="BP60" s="7"/>
      <c r="BQ60" s="7"/>
      <c r="BR60" s="7"/>
      <c r="BS60" s="7"/>
      <c r="BT60" s="7"/>
    </row>
    <row r="61" ht="15.75" customHeight="1">
      <c r="A61" s="16" t="s">
        <v>165</v>
      </c>
      <c r="C61" s="37" t="s">
        <v>166</v>
      </c>
      <c r="D61" s="18" t="s">
        <v>167</v>
      </c>
      <c r="E61" s="18" t="s">
        <v>32</v>
      </c>
      <c r="F61" s="23" t="s">
        <v>27</v>
      </c>
      <c r="G61" s="12">
        <v>45873.0</v>
      </c>
      <c r="H61" s="12">
        <v>45877.0</v>
      </c>
      <c r="I61" s="24"/>
      <c r="J61" s="14" t="str">
        <f t="shared" si="54"/>
        <v/>
      </c>
      <c r="K61" s="14" t="str">
        <f t="shared" si="55"/>
        <v/>
      </c>
      <c r="L61" s="14" t="str">
        <f t="shared" si="3"/>
        <v/>
      </c>
      <c r="M61" s="14" t="str">
        <f t="shared" si="4"/>
        <v/>
      </c>
      <c r="N61" s="14" t="str">
        <f t="shared" si="5"/>
        <v/>
      </c>
      <c r="O61" s="14" t="str">
        <f t="shared" si="6"/>
        <v/>
      </c>
      <c r="P61" s="14" t="str">
        <f t="shared" si="7"/>
        <v/>
      </c>
      <c r="Q61" s="14" t="str">
        <f t="shared" si="8"/>
        <v/>
      </c>
      <c r="R61" s="14" t="str">
        <f t="shared" si="9"/>
        <v/>
      </c>
      <c r="S61" s="14" t="str">
        <f t="shared" si="10"/>
        <v/>
      </c>
      <c r="T61" s="14" t="str">
        <f t="shared" si="11"/>
        <v/>
      </c>
      <c r="U61" s="14" t="str">
        <f t="shared" si="12"/>
        <v/>
      </c>
      <c r="V61" s="14" t="str">
        <f t="shared" si="13"/>
        <v/>
      </c>
      <c r="W61" s="14" t="str">
        <f t="shared" si="14"/>
        <v/>
      </c>
      <c r="X61" s="14" t="str">
        <f t="shared" si="15"/>
        <v/>
      </c>
      <c r="Y61" s="14" t="str">
        <f t="shared" si="16"/>
        <v/>
      </c>
      <c r="Z61" s="14" t="str">
        <f t="shared" si="17"/>
        <v/>
      </c>
      <c r="AA61" s="14" t="str">
        <f t="shared" si="18"/>
        <v/>
      </c>
      <c r="AB61" s="14" t="str">
        <f t="shared" si="19"/>
        <v/>
      </c>
      <c r="AC61" s="14" t="str">
        <f t="shared" si="20"/>
        <v/>
      </c>
      <c r="AD61" s="14" t="str">
        <f t="shared" si="21"/>
        <v/>
      </c>
      <c r="AE61" s="14" t="str">
        <f t="shared" si="22"/>
        <v/>
      </c>
      <c r="AF61" s="14" t="str">
        <f t="shared" si="23"/>
        <v/>
      </c>
      <c r="AG61" s="14" t="str">
        <f t="shared" si="24"/>
        <v/>
      </c>
      <c r="AH61" s="14" t="str">
        <f t="shared" si="25"/>
        <v/>
      </c>
      <c r="AI61" s="14" t="str">
        <f t="shared" si="26"/>
        <v/>
      </c>
      <c r="AJ61" s="14" t="str">
        <f t="shared" si="27"/>
        <v/>
      </c>
      <c r="AK61" s="14" t="str">
        <f t="shared" si="28"/>
        <v/>
      </c>
      <c r="AL61" s="14" t="str">
        <f t="shared" si="29"/>
        <v/>
      </c>
      <c r="AM61" s="14" t="str">
        <f t="shared" si="30"/>
        <v/>
      </c>
      <c r="AN61" s="14" t="str">
        <f t="shared" si="31"/>
        <v/>
      </c>
      <c r="AO61" s="14" t="str">
        <f t="shared" si="32"/>
        <v/>
      </c>
      <c r="AP61" s="14" t="str">
        <f t="shared" si="33"/>
        <v/>
      </c>
      <c r="AQ61" s="14" t="str">
        <f t="shared" si="34"/>
        <v/>
      </c>
      <c r="AR61" s="14" t="str">
        <f t="shared" si="35"/>
        <v/>
      </c>
      <c r="AS61" s="25" t="str">
        <f t="shared" si="36"/>
        <v>진행 예정</v>
      </c>
      <c r="AT61" s="25" t="str">
        <f t="shared" si="37"/>
        <v>진행 예정</v>
      </c>
      <c r="AU61" s="25" t="str">
        <f t="shared" si="38"/>
        <v>진행 예정</v>
      </c>
      <c r="AV61" s="25" t="str">
        <f t="shared" si="39"/>
        <v>진행 예정</v>
      </c>
      <c r="AW61" s="25" t="str">
        <f t="shared" si="40"/>
        <v>진행 예정</v>
      </c>
      <c r="AX61" s="14" t="str">
        <f t="shared" si="41"/>
        <v/>
      </c>
      <c r="AY61" s="14" t="str">
        <f t="shared" si="42"/>
        <v/>
      </c>
      <c r="AZ61" s="14" t="str">
        <f t="shared" si="43"/>
        <v/>
      </c>
      <c r="BA61" s="14" t="str">
        <f t="shared" si="44"/>
        <v/>
      </c>
      <c r="BB61" s="14" t="str">
        <f t="shared" si="45"/>
        <v/>
      </c>
      <c r="BC61" s="14" t="str">
        <f t="shared" si="46"/>
        <v/>
      </c>
      <c r="BD61" s="14" t="str">
        <f t="shared" si="47"/>
        <v/>
      </c>
      <c r="BE61" s="14" t="str">
        <f t="shared" si="48"/>
        <v/>
      </c>
      <c r="BF61" s="14" t="str">
        <f t="shared" si="49"/>
        <v/>
      </c>
      <c r="BG61" s="14" t="str">
        <f t="shared" si="50"/>
        <v/>
      </c>
      <c r="BH61" s="14" t="str">
        <f t="shared" si="51"/>
        <v/>
      </c>
      <c r="BI61" s="14" t="str">
        <f t="shared" si="52"/>
        <v/>
      </c>
      <c r="BJ61" s="14" t="str">
        <f t="shared" si="53"/>
        <v/>
      </c>
      <c r="BK61" s="7"/>
      <c r="BL61" s="7"/>
      <c r="BM61" s="7"/>
      <c r="BN61" s="7"/>
      <c r="BO61" s="7"/>
      <c r="BP61" s="7"/>
      <c r="BQ61" s="7"/>
      <c r="BR61" s="7"/>
      <c r="BS61" s="7"/>
      <c r="BT61" s="7"/>
    </row>
    <row r="62" ht="15.75" customHeight="1">
      <c r="A62" s="16" t="s">
        <v>168</v>
      </c>
      <c r="D62" s="18" t="s">
        <v>169</v>
      </c>
      <c r="E62" s="18" t="s">
        <v>32</v>
      </c>
      <c r="F62" s="23" t="s">
        <v>27</v>
      </c>
      <c r="G62" s="12">
        <v>45873.0</v>
      </c>
      <c r="H62" s="12">
        <v>45877.0</v>
      </c>
      <c r="I62" s="24"/>
      <c r="J62" s="14" t="str">
        <f t="shared" si="54"/>
        <v/>
      </c>
      <c r="K62" s="14" t="str">
        <f t="shared" si="55"/>
        <v/>
      </c>
      <c r="L62" s="14" t="str">
        <f t="shared" si="3"/>
        <v/>
      </c>
      <c r="M62" s="14" t="str">
        <f t="shared" si="4"/>
        <v/>
      </c>
      <c r="N62" s="14" t="str">
        <f t="shared" si="5"/>
        <v/>
      </c>
      <c r="O62" s="14" t="str">
        <f t="shared" si="6"/>
        <v/>
      </c>
      <c r="P62" s="14" t="str">
        <f t="shared" si="7"/>
        <v/>
      </c>
      <c r="Q62" s="14" t="str">
        <f t="shared" si="8"/>
        <v/>
      </c>
      <c r="R62" s="14" t="str">
        <f t="shared" si="9"/>
        <v/>
      </c>
      <c r="S62" s="14" t="str">
        <f t="shared" si="10"/>
        <v/>
      </c>
      <c r="T62" s="14" t="str">
        <f t="shared" si="11"/>
        <v/>
      </c>
      <c r="U62" s="14" t="str">
        <f t="shared" si="12"/>
        <v/>
      </c>
      <c r="V62" s="14" t="str">
        <f t="shared" si="13"/>
        <v/>
      </c>
      <c r="W62" s="14" t="str">
        <f t="shared" si="14"/>
        <v/>
      </c>
      <c r="X62" s="14" t="str">
        <f t="shared" si="15"/>
        <v/>
      </c>
      <c r="Y62" s="14" t="str">
        <f t="shared" si="16"/>
        <v/>
      </c>
      <c r="Z62" s="14" t="str">
        <f t="shared" si="17"/>
        <v/>
      </c>
      <c r="AA62" s="14" t="str">
        <f t="shared" si="18"/>
        <v/>
      </c>
      <c r="AB62" s="14" t="str">
        <f t="shared" si="19"/>
        <v/>
      </c>
      <c r="AC62" s="14" t="str">
        <f t="shared" si="20"/>
        <v/>
      </c>
      <c r="AD62" s="14" t="str">
        <f t="shared" si="21"/>
        <v/>
      </c>
      <c r="AE62" s="14" t="str">
        <f t="shared" si="22"/>
        <v/>
      </c>
      <c r="AF62" s="14" t="str">
        <f t="shared" si="23"/>
        <v/>
      </c>
      <c r="AG62" s="14" t="str">
        <f t="shared" si="24"/>
        <v/>
      </c>
      <c r="AH62" s="14" t="str">
        <f t="shared" si="25"/>
        <v/>
      </c>
      <c r="AI62" s="14" t="str">
        <f t="shared" si="26"/>
        <v/>
      </c>
      <c r="AJ62" s="14" t="str">
        <f t="shared" si="27"/>
        <v/>
      </c>
      <c r="AK62" s="14" t="str">
        <f t="shared" si="28"/>
        <v/>
      </c>
      <c r="AL62" s="14" t="str">
        <f t="shared" si="29"/>
        <v/>
      </c>
      <c r="AM62" s="14" t="str">
        <f t="shared" si="30"/>
        <v/>
      </c>
      <c r="AN62" s="14" t="str">
        <f t="shared" si="31"/>
        <v/>
      </c>
      <c r="AO62" s="14" t="str">
        <f t="shared" si="32"/>
        <v/>
      </c>
      <c r="AP62" s="14" t="str">
        <f t="shared" si="33"/>
        <v/>
      </c>
      <c r="AQ62" s="14" t="str">
        <f t="shared" si="34"/>
        <v/>
      </c>
      <c r="AR62" s="14" t="str">
        <f t="shared" si="35"/>
        <v/>
      </c>
      <c r="AS62" s="25" t="str">
        <f t="shared" si="36"/>
        <v>진행 예정</v>
      </c>
      <c r="AT62" s="25" t="str">
        <f t="shared" si="37"/>
        <v>진행 예정</v>
      </c>
      <c r="AU62" s="25" t="str">
        <f t="shared" si="38"/>
        <v>진행 예정</v>
      </c>
      <c r="AV62" s="25" t="str">
        <f t="shared" si="39"/>
        <v>진행 예정</v>
      </c>
      <c r="AW62" s="25" t="str">
        <f t="shared" si="40"/>
        <v>진행 예정</v>
      </c>
      <c r="AX62" s="14" t="str">
        <f t="shared" si="41"/>
        <v/>
      </c>
      <c r="AY62" s="14" t="str">
        <f t="shared" si="42"/>
        <v/>
      </c>
      <c r="AZ62" s="14" t="str">
        <f t="shared" si="43"/>
        <v/>
      </c>
      <c r="BA62" s="14" t="str">
        <f t="shared" si="44"/>
        <v/>
      </c>
      <c r="BB62" s="14" t="str">
        <f t="shared" si="45"/>
        <v/>
      </c>
      <c r="BC62" s="14" t="str">
        <f t="shared" si="46"/>
        <v/>
      </c>
      <c r="BD62" s="14" t="str">
        <f t="shared" si="47"/>
        <v/>
      </c>
      <c r="BE62" s="14" t="str">
        <f t="shared" si="48"/>
        <v/>
      </c>
      <c r="BF62" s="14" t="str">
        <f t="shared" si="49"/>
        <v/>
      </c>
      <c r="BG62" s="14" t="str">
        <f t="shared" si="50"/>
        <v/>
      </c>
      <c r="BH62" s="14" t="str">
        <f t="shared" si="51"/>
        <v/>
      </c>
      <c r="BI62" s="14" t="str">
        <f t="shared" si="52"/>
        <v/>
      </c>
      <c r="BJ62" s="14" t="str">
        <f t="shared" si="53"/>
        <v/>
      </c>
      <c r="BK62" s="7"/>
      <c r="BL62" s="7"/>
      <c r="BM62" s="7"/>
      <c r="BN62" s="7"/>
      <c r="BO62" s="7"/>
      <c r="BP62" s="7"/>
      <c r="BQ62" s="7"/>
      <c r="BR62" s="7"/>
      <c r="BS62" s="7"/>
      <c r="BT62" s="7"/>
    </row>
    <row r="63" ht="15.75" customHeight="1">
      <c r="A63" s="16" t="s">
        <v>170</v>
      </c>
      <c r="D63" s="18" t="s">
        <v>171</v>
      </c>
      <c r="E63" s="18" t="s">
        <v>32</v>
      </c>
      <c r="F63" s="23" t="s">
        <v>27</v>
      </c>
      <c r="G63" s="12">
        <v>45873.0</v>
      </c>
      <c r="H63" s="12">
        <v>45877.0</v>
      </c>
      <c r="I63" s="24"/>
      <c r="J63" s="14" t="str">
        <f t="shared" si="54"/>
        <v/>
      </c>
      <c r="K63" s="14" t="str">
        <f t="shared" si="55"/>
        <v/>
      </c>
      <c r="L63" s="14" t="str">
        <f t="shared" si="3"/>
        <v/>
      </c>
      <c r="M63" s="14" t="str">
        <f t="shared" si="4"/>
        <v/>
      </c>
      <c r="N63" s="14" t="str">
        <f t="shared" si="5"/>
        <v/>
      </c>
      <c r="O63" s="14" t="str">
        <f t="shared" si="6"/>
        <v/>
      </c>
      <c r="P63" s="14" t="str">
        <f t="shared" si="7"/>
        <v/>
      </c>
      <c r="Q63" s="14" t="str">
        <f t="shared" si="8"/>
        <v/>
      </c>
      <c r="R63" s="14" t="str">
        <f t="shared" si="9"/>
        <v/>
      </c>
      <c r="S63" s="14" t="str">
        <f t="shared" si="10"/>
        <v/>
      </c>
      <c r="T63" s="14" t="str">
        <f t="shared" si="11"/>
        <v/>
      </c>
      <c r="U63" s="14" t="str">
        <f t="shared" si="12"/>
        <v/>
      </c>
      <c r="V63" s="14" t="str">
        <f t="shared" si="13"/>
        <v/>
      </c>
      <c r="W63" s="14" t="str">
        <f t="shared" si="14"/>
        <v/>
      </c>
      <c r="X63" s="14" t="str">
        <f t="shared" si="15"/>
        <v/>
      </c>
      <c r="Y63" s="14" t="str">
        <f t="shared" si="16"/>
        <v/>
      </c>
      <c r="Z63" s="14" t="str">
        <f t="shared" si="17"/>
        <v/>
      </c>
      <c r="AA63" s="14" t="str">
        <f t="shared" si="18"/>
        <v/>
      </c>
      <c r="AB63" s="14" t="str">
        <f t="shared" si="19"/>
        <v/>
      </c>
      <c r="AC63" s="14" t="str">
        <f t="shared" si="20"/>
        <v/>
      </c>
      <c r="AD63" s="14" t="str">
        <f t="shared" si="21"/>
        <v/>
      </c>
      <c r="AE63" s="14" t="str">
        <f t="shared" si="22"/>
        <v/>
      </c>
      <c r="AF63" s="14" t="str">
        <f t="shared" si="23"/>
        <v/>
      </c>
      <c r="AG63" s="14" t="str">
        <f t="shared" si="24"/>
        <v/>
      </c>
      <c r="AH63" s="14" t="str">
        <f t="shared" si="25"/>
        <v/>
      </c>
      <c r="AI63" s="14" t="str">
        <f t="shared" si="26"/>
        <v/>
      </c>
      <c r="AJ63" s="14" t="str">
        <f t="shared" si="27"/>
        <v/>
      </c>
      <c r="AK63" s="14" t="str">
        <f t="shared" si="28"/>
        <v/>
      </c>
      <c r="AL63" s="14" t="str">
        <f t="shared" si="29"/>
        <v/>
      </c>
      <c r="AM63" s="14" t="str">
        <f t="shared" si="30"/>
        <v/>
      </c>
      <c r="AN63" s="14" t="str">
        <f t="shared" si="31"/>
        <v/>
      </c>
      <c r="AO63" s="14" t="str">
        <f t="shared" si="32"/>
        <v/>
      </c>
      <c r="AP63" s="14" t="str">
        <f t="shared" si="33"/>
        <v/>
      </c>
      <c r="AQ63" s="14" t="str">
        <f t="shared" si="34"/>
        <v/>
      </c>
      <c r="AR63" s="14" t="str">
        <f t="shared" si="35"/>
        <v/>
      </c>
      <c r="AS63" s="25" t="str">
        <f t="shared" si="36"/>
        <v>진행 예정</v>
      </c>
      <c r="AT63" s="25" t="str">
        <f t="shared" si="37"/>
        <v>진행 예정</v>
      </c>
      <c r="AU63" s="25" t="str">
        <f t="shared" si="38"/>
        <v>진행 예정</v>
      </c>
      <c r="AV63" s="25" t="str">
        <f t="shared" si="39"/>
        <v>진행 예정</v>
      </c>
      <c r="AW63" s="25" t="str">
        <f t="shared" si="40"/>
        <v>진행 예정</v>
      </c>
      <c r="AX63" s="14" t="str">
        <f t="shared" si="41"/>
        <v/>
      </c>
      <c r="AY63" s="14" t="str">
        <f t="shared" si="42"/>
        <v/>
      </c>
      <c r="AZ63" s="14" t="str">
        <f t="shared" si="43"/>
        <v/>
      </c>
      <c r="BA63" s="14" t="str">
        <f t="shared" si="44"/>
        <v/>
      </c>
      <c r="BB63" s="14" t="str">
        <f t="shared" si="45"/>
        <v/>
      </c>
      <c r="BC63" s="14" t="str">
        <f t="shared" si="46"/>
        <v/>
      </c>
      <c r="BD63" s="14" t="str">
        <f t="shared" si="47"/>
        <v/>
      </c>
      <c r="BE63" s="14" t="str">
        <f t="shared" si="48"/>
        <v/>
      </c>
      <c r="BF63" s="14" t="str">
        <f t="shared" si="49"/>
        <v/>
      </c>
      <c r="BG63" s="14" t="str">
        <f t="shared" si="50"/>
        <v/>
      </c>
      <c r="BH63" s="14" t="str">
        <f t="shared" si="51"/>
        <v/>
      </c>
      <c r="BI63" s="14" t="str">
        <f t="shared" si="52"/>
        <v/>
      </c>
      <c r="BJ63" s="14" t="str">
        <f t="shared" si="53"/>
        <v/>
      </c>
      <c r="BK63" s="7"/>
      <c r="BL63" s="7"/>
      <c r="BM63" s="7"/>
      <c r="BN63" s="7"/>
      <c r="BO63" s="7"/>
      <c r="BP63" s="7"/>
      <c r="BQ63" s="7"/>
      <c r="BR63" s="7"/>
      <c r="BS63" s="7"/>
      <c r="BT63" s="7"/>
    </row>
    <row r="64" ht="15.75" customHeight="1">
      <c r="A64" s="16" t="s">
        <v>172</v>
      </c>
      <c r="C64" s="37" t="s">
        <v>173</v>
      </c>
      <c r="D64" s="18" t="s">
        <v>174</v>
      </c>
      <c r="E64" s="18" t="s">
        <v>32</v>
      </c>
      <c r="F64" s="23" t="s">
        <v>27</v>
      </c>
      <c r="G64" s="12">
        <v>45852.0</v>
      </c>
      <c r="H64" s="12">
        <v>45856.0</v>
      </c>
      <c r="I64" s="24"/>
      <c r="J64" s="14" t="str">
        <f t="shared" si="54"/>
        <v/>
      </c>
      <c r="K64" s="14" t="str">
        <f t="shared" si="55"/>
        <v/>
      </c>
      <c r="L64" s="14" t="str">
        <f t="shared" si="3"/>
        <v/>
      </c>
      <c r="M64" s="14" t="str">
        <f t="shared" si="4"/>
        <v/>
      </c>
      <c r="N64" s="14" t="str">
        <f t="shared" si="5"/>
        <v/>
      </c>
      <c r="O64" s="14" t="str">
        <f t="shared" si="6"/>
        <v/>
      </c>
      <c r="P64" s="14" t="str">
        <f t="shared" si="7"/>
        <v/>
      </c>
      <c r="Q64" s="14" t="str">
        <f t="shared" si="8"/>
        <v/>
      </c>
      <c r="R64" s="14" t="str">
        <f t="shared" si="9"/>
        <v/>
      </c>
      <c r="S64" s="14" t="str">
        <f t="shared" si="10"/>
        <v/>
      </c>
      <c r="T64" s="14" t="str">
        <f t="shared" si="11"/>
        <v/>
      </c>
      <c r="U64" s="14" t="str">
        <f t="shared" si="12"/>
        <v/>
      </c>
      <c r="V64" s="14" t="str">
        <f t="shared" si="13"/>
        <v/>
      </c>
      <c r="W64" s="14" t="str">
        <f t="shared" si="14"/>
        <v/>
      </c>
      <c r="X64" s="25" t="str">
        <f t="shared" si="15"/>
        <v>진행 예정</v>
      </c>
      <c r="Y64" s="25" t="str">
        <f t="shared" si="16"/>
        <v>진행 예정</v>
      </c>
      <c r="Z64" s="25" t="str">
        <f t="shared" si="17"/>
        <v>진행 예정</v>
      </c>
      <c r="AA64" s="25" t="str">
        <f t="shared" si="18"/>
        <v>진행 예정</v>
      </c>
      <c r="AB64" s="25" t="str">
        <f t="shared" si="19"/>
        <v>진행 예정</v>
      </c>
      <c r="AC64" s="14" t="str">
        <f t="shared" si="20"/>
        <v/>
      </c>
      <c r="AD64" s="14" t="str">
        <f t="shared" si="21"/>
        <v/>
      </c>
      <c r="AE64" s="14" t="str">
        <f t="shared" si="22"/>
        <v/>
      </c>
      <c r="AF64" s="14" t="str">
        <f t="shared" si="23"/>
        <v/>
      </c>
      <c r="AG64" s="14" t="str">
        <f t="shared" si="24"/>
        <v/>
      </c>
      <c r="AH64" s="14" t="str">
        <f t="shared" si="25"/>
        <v/>
      </c>
      <c r="AI64" s="14" t="str">
        <f t="shared" si="26"/>
        <v/>
      </c>
      <c r="AJ64" s="14" t="str">
        <f t="shared" si="27"/>
        <v/>
      </c>
      <c r="AK64" s="14" t="str">
        <f t="shared" si="28"/>
        <v/>
      </c>
      <c r="AL64" s="14" t="str">
        <f t="shared" si="29"/>
        <v/>
      </c>
      <c r="AM64" s="14" t="str">
        <f t="shared" si="30"/>
        <v/>
      </c>
      <c r="AN64" s="14" t="str">
        <f t="shared" si="31"/>
        <v/>
      </c>
      <c r="AO64" s="14" t="str">
        <f t="shared" si="32"/>
        <v/>
      </c>
      <c r="AP64" s="14" t="str">
        <f t="shared" si="33"/>
        <v/>
      </c>
      <c r="AQ64" s="14" t="str">
        <f t="shared" si="34"/>
        <v/>
      </c>
      <c r="AR64" s="14" t="str">
        <f t="shared" si="35"/>
        <v/>
      </c>
      <c r="AS64" s="14" t="str">
        <f t="shared" si="36"/>
        <v/>
      </c>
      <c r="AT64" s="14" t="str">
        <f t="shared" si="37"/>
        <v/>
      </c>
      <c r="AU64" s="14" t="str">
        <f t="shared" si="38"/>
        <v/>
      </c>
      <c r="AV64" s="14" t="str">
        <f t="shared" si="39"/>
        <v/>
      </c>
      <c r="AW64" s="14" t="str">
        <f t="shared" si="40"/>
        <v/>
      </c>
      <c r="AX64" s="14" t="str">
        <f t="shared" si="41"/>
        <v/>
      </c>
      <c r="AY64" s="14" t="str">
        <f t="shared" si="42"/>
        <v/>
      </c>
      <c r="AZ64" s="14" t="str">
        <f t="shared" si="43"/>
        <v/>
      </c>
      <c r="BA64" s="14" t="str">
        <f t="shared" si="44"/>
        <v/>
      </c>
      <c r="BB64" s="14" t="str">
        <f t="shared" si="45"/>
        <v/>
      </c>
      <c r="BC64" s="14" t="str">
        <f t="shared" si="46"/>
        <v/>
      </c>
      <c r="BD64" s="14" t="str">
        <f t="shared" si="47"/>
        <v/>
      </c>
      <c r="BE64" s="14" t="str">
        <f t="shared" si="48"/>
        <v/>
      </c>
      <c r="BF64" s="14" t="str">
        <f t="shared" si="49"/>
        <v/>
      </c>
      <c r="BG64" s="14" t="str">
        <f t="shared" si="50"/>
        <v/>
      </c>
      <c r="BH64" s="14" t="str">
        <f t="shared" si="51"/>
        <v/>
      </c>
      <c r="BI64" s="14" t="str">
        <f t="shared" si="52"/>
        <v/>
      </c>
      <c r="BJ64" s="14" t="str">
        <f t="shared" si="53"/>
        <v/>
      </c>
      <c r="BK64" s="7"/>
      <c r="BL64" s="7"/>
      <c r="BM64" s="7"/>
      <c r="BN64" s="7"/>
      <c r="BO64" s="7"/>
      <c r="BP64" s="7"/>
      <c r="BQ64" s="7"/>
      <c r="BR64" s="7"/>
      <c r="BS64" s="7"/>
      <c r="BT64" s="7"/>
    </row>
    <row r="65" ht="15.75" customHeight="1">
      <c r="A65" s="16" t="s">
        <v>175</v>
      </c>
      <c r="D65" s="18" t="s">
        <v>176</v>
      </c>
      <c r="E65" s="18" t="s">
        <v>32</v>
      </c>
      <c r="F65" s="23" t="s">
        <v>27</v>
      </c>
      <c r="G65" s="12">
        <v>45852.0</v>
      </c>
      <c r="H65" s="12">
        <v>45856.0</v>
      </c>
      <c r="I65" s="24"/>
      <c r="J65" s="14" t="str">
        <f t="shared" si="54"/>
        <v/>
      </c>
      <c r="K65" s="14" t="str">
        <f t="shared" si="55"/>
        <v/>
      </c>
      <c r="L65" s="14" t="str">
        <f t="shared" si="3"/>
        <v/>
      </c>
      <c r="M65" s="14" t="str">
        <f t="shared" si="4"/>
        <v/>
      </c>
      <c r="N65" s="14" t="str">
        <f t="shared" si="5"/>
        <v/>
      </c>
      <c r="O65" s="14" t="str">
        <f t="shared" si="6"/>
        <v/>
      </c>
      <c r="P65" s="14" t="str">
        <f t="shared" si="7"/>
        <v/>
      </c>
      <c r="Q65" s="14" t="str">
        <f t="shared" si="8"/>
        <v/>
      </c>
      <c r="R65" s="14" t="str">
        <f t="shared" si="9"/>
        <v/>
      </c>
      <c r="S65" s="14" t="str">
        <f t="shared" si="10"/>
        <v/>
      </c>
      <c r="T65" s="14" t="str">
        <f t="shared" si="11"/>
        <v/>
      </c>
      <c r="U65" s="14" t="str">
        <f t="shared" si="12"/>
        <v/>
      </c>
      <c r="V65" s="14" t="str">
        <f t="shared" si="13"/>
        <v/>
      </c>
      <c r="W65" s="14" t="str">
        <f t="shared" si="14"/>
        <v/>
      </c>
      <c r="X65" s="25" t="str">
        <f t="shared" si="15"/>
        <v>진행 예정</v>
      </c>
      <c r="Y65" s="25" t="str">
        <f t="shared" si="16"/>
        <v>진행 예정</v>
      </c>
      <c r="Z65" s="25" t="str">
        <f t="shared" si="17"/>
        <v>진행 예정</v>
      </c>
      <c r="AA65" s="25" t="str">
        <f t="shared" si="18"/>
        <v>진행 예정</v>
      </c>
      <c r="AB65" s="25" t="str">
        <f t="shared" si="19"/>
        <v>진행 예정</v>
      </c>
      <c r="AC65" s="14" t="str">
        <f t="shared" si="20"/>
        <v/>
      </c>
      <c r="AD65" s="14" t="str">
        <f t="shared" si="21"/>
        <v/>
      </c>
      <c r="AE65" s="14" t="str">
        <f t="shared" si="22"/>
        <v/>
      </c>
      <c r="AF65" s="14" t="str">
        <f t="shared" si="23"/>
        <v/>
      </c>
      <c r="AG65" s="14" t="str">
        <f t="shared" si="24"/>
        <v/>
      </c>
      <c r="AH65" s="14" t="str">
        <f t="shared" si="25"/>
        <v/>
      </c>
      <c r="AI65" s="14" t="str">
        <f t="shared" si="26"/>
        <v/>
      </c>
      <c r="AJ65" s="14" t="str">
        <f t="shared" si="27"/>
        <v/>
      </c>
      <c r="AK65" s="14" t="str">
        <f t="shared" si="28"/>
        <v/>
      </c>
      <c r="AL65" s="14" t="str">
        <f t="shared" si="29"/>
        <v/>
      </c>
      <c r="AM65" s="14" t="str">
        <f t="shared" si="30"/>
        <v/>
      </c>
      <c r="AN65" s="14" t="str">
        <f t="shared" si="31"/>
        <v/>
      </c>
      <c r="AO65" s="14" t="str">
        <f t="shared" si="32"/>
        <v/>
      </c>
      <c r="AP65" s="14" t="str">
        <f t="shared" si="33"/>
        <v/>
      </c>
      <c r="AQ65" s="14" t="str">
        <f t="shared" si="34"/>
        <v/>
      </c>
      <c r="AR65" s="14" t="str">
        <f t="shared" si="35"/>
        <v/>
      </c>
      <c r="AS65" s="14" t="str">
        <f t="shared" si="36"/>
        <v/>
      </c>
      <c r="AT65" s="14" t="str">
        <f t="shared" si="37"/>
        <v/>
      </c>
      <c r="AU65" s="14" t="str">
        <f t="shared" si="38"/>
        <v/>
      </c>
      <c r="AV65" s="14" t="str">
        <f t="shared" si="39"/>
        <v/>
      </c>
      <c r="AW65" s="14" t="str">
        <f t="shared" si="40"/>
        <v/>
      </c>
      <c r="AX65" s="14" t="str">
        <f t="shared" si="41"/>
        <v/>
      </c>
      <c r="AY65" s="14" t="str">
        <f t="shared" si="42"/>
        <v/>
      </c>
      <c r="AZ65" s="14" t="str">
        <f t="shared" si="43"/>
        <v/>
      </c>
      <c r="BA65" s="14" t="str">
        <f t="shared" si="44"/>
        <v/>
      </c>
      <c r="BB65" s="14" t="str">
        <f t="shared" si="45"/>
        <v/>
      </c>
      <c r="BC65" s="14" t="str">
        <f t="shared" si="46"/>
        <v/>
      </c>
      <c r="BD65" s="14" t="str">
        <f t="shared" si="47"/>
        <v/>
      </c>
      <c r="BE65" s="14" t="str">
        <f t="shared" si="48"/>
        <v/>
      </c>
      <c r="BF65" s="14" t="str">
        <f t="shared" si="49"/>
        <v/>
      </c>
      <c r="BG65" s="14" t="str">
        <f t="shared" si="50"/>
        <v/>
      </c>
      <c r="BH65" s="14" t="str">
        <f t="shared" si="51"/>
        <v/>
      </c>
      <c r="BI65" s="14" t="str">
        <f t="shared" si="52"/>
        <v/>
      </c>
      <c r="BJ65" s="14" t="str">
        <f t="shared" si="53"/>
        <v/>
      </c>
      <c r="BK65" s="7"/>
      <c r="BL65" s="7"/>
      <c r="BM65" s="7"/>
      <c r="BN65" s="7"/>
      <c r="BO65" s="7"/>
      <c r="BP65" s="7"/>
      <c r="BQ65" s="7"/>
      <c r="BR65" s="7"/>
      <c r="BS65" s="7"/>
      <c r="BT65" s="7"/>
    </row>
    <row r="66" ht="15.75" customHeight="1">
      <c r="A66" s="16" t="s">
        <v>177</v>
      </c>
      <c r="D66" s="18" t="s">
        <v>178</v>
      </c>
      <c r="E66" s="18" t="s">
        <v>32</v>
      </c>
      <c r="F66" s="23" t="s">
        <v>27</v>
      </c>
      <c r="G66" s="12">
        <v>45852.0</v>
      </c>
      <c r="H66" s="12">
        <v>45856.0</v>
      </c>
      <c r="I66" s="24"/>
      <c r="J66" s="14" t="str">
        <f t="shared" si="54"/>
        <v/>
      </c>
      <c r="K66" s="14" t="str">
        <f t="shared" si="55"/>
        <v/>
      </c>
      <c r="L66" s="14" t="str">
        <f t="shared" si="3"/>
        <v/>
      </c>
      <c r="M66" s="14" t="str">
        <f t="shared" si="4"/>
        <v/>
      </c>
      <c r="N66" s="14" t="str">
        <f t="shared" si="5"/>
        <v/>
      </c>
      <c r="O66" s="14" t="str">
        <f t="shared" si="6"/>
        <v/>
      </c>
      <c r="P66" s="14" t="str">
        <f t="shared" si="7"/>
        <v/>
      </c>
      <c r="Q66" s="14" t="str">
        <f t="shared" si="8"/>
        <v/>
      </c>
      <c r="R66" s="14" t="str">
        <f t="shared" si="9"/>
        <v/>
      </c>
      <c r="S66" s="14" t="str">
        <f t="shared" si="10"/>
        <v/>
      </c>
      <c r="T66" s="14" t="str">
        <f t="shared" si="11"/>
        <v/>
      </c>
      <c r="U66" s="14" t="str">
        <f t="shared" si="12"/>
        <v/>
      </c>
      <c r="V66" s="14" t="str">
        <f t="shared" si="13"/>
        <v/>
      </c>
      <c r="W66" s="14" t="str">
        <f t="shared" si="14"/>
        <v/>
      </c>
      <c r="X66" s="25" t="str">
        <f t="shared" si="15"/>
        <v>진행 예정</v>
      </c>
      <c r="Y66" s="25" t="str">
        <f t="shared" si="16"/>
        <v>진행 예정</v>
      </c>
      <c r="Z66" s="25" t="str">
        <f t="shared" si="17"/>
        <v>진행 예정</v>
      </c>
      <c r="AA66" s="25" t="str">
        <f t="shared" si="18"/>
        <v>진행 예정</v>
      </c>
      <c r="AB66" s="25" t="str">
        <f t="shared" si="19"/>
        <v>진행 예정</v>
      </c>
      <c r="AC66" s="14" t="str">
        <f t="shared" si="20"/>
        <v/>
      </c>
      <c r="AD66" s="14" t="str">
        <f t="shared" si="21"/>
        <v/>
      </c>
      <c r="AE66" s="14" t="str">
        <f t="shared" si="22"/>
        <v/>
      </c>
      <c r="AF66" s="14" t="str">
        <f t="shared" si="23"/>
        <v/>
      </c>
      <c r="AG66" s="14" t="str">
        <f t="shared" si="24"/>
        <v/>
      </c>
      <c r="AH66" s="14" t="str">
        <f t="shared" si="25"/>
        <v/>
      </c>
      <c r="AI66" s="14" t="str">
        <f t="shared" si="26"/>
        <v/>
      </c>
      <c r="AJ66" s="14" t="str">
        <f t="shared" si="27"/>
        <v/>
      </c>
      <c r="AK66" s="14" t="str">
        <f t="shared" si="28"/>
        <v/>
      </c>
      <c r="AL66" s="14" t="str">
        <f t="shared" si="29"/>
        <v/>
      </c>
      <c r="AM66" s="14" t="str">
        <f t="shared" si="30"/>
        <v/>
      </c>
      <c r="AN66" s="14" t="str">
        <f t="shared" si="31"/>
        <v/>
      </c>
      <c r="AO66" s="14" t="str">
        <f t="shared" si="32"/>
        <v/>
      </c>
      <c r="AP66" s="14" t="str">
        <f t="shared" si="33"/>
        <v/>
      </c>
      <c r="AQ66" s="14" t="str">
        <f t="shared" si="34"/>
        <v/>
      </c>
      <c r="AR66" s="14" t="str">
        <f t="shared" si="35"/>
        <v/>
      </c>
      <c r="AS66" s="14" t="str">
        <f t="shared" si="36"/>
        <v/>
      </c>
      <c r="AT66" s="14" t="str">
        <f t="shared" si="37"/>
        <v/>
      </c>
      <c r="AU66" s="14" t="str">
        <f t="shared" si="38"/>
        <v/>
      </c>
      <c r="AV66" s="14" t="str">
        <f t="shared" si="39"/>
        <v/>
      </c>
      <c r="AW66" s="14" t="str">
        <f t="shared" si="40"/>
        <v/>
      </c>
      <c r="AX66" s="14" t="str">
        <f t="shared" si="41"/>
        <v/>
      </c>
      <c r="AY66" s="14" t="str">
        <f t="shared" si="42"/>
        <v/>
      </c>
      <c r="AZ66" s="14" t="str">
        <f t="shared" si="43"/>
        <v/>
      </c>
      <c r="BA66" s="14" t="str">
        <f t="shared" si="44"/>
        <v/>
      </c>
      <c r="BB66" s="14" t="str">
        <f t="shared" si="45"/>
        <v/>
      </c>
      <c r="BC66" s="14" t="str">
        <f t="shared" si="46"/>
        <v/>
      </c>
      <c r="BD66" s="14" t="str">
        <f t="shared" si="47"/>
        <v/>
      </c>
      <c r="BE66" s="14" t="str">
        <f t="shared" si="48"/>
        <v/>
      </c>
      <c r="BF66" s="14" t="str">
        <f t="shared" si="49"/>
        <v/>
      </c>
      <c r="BG66" s="14" t="str">
        <f t="shared" si="50"/>
        <v/>
      </c>
      <c r="BH66" s="14" t="str">
        <f t="shared" si="51"/>
        <v/>
      </c>
      <c r="BI66" s="14" t="str">
        <f t="shared" si="52"/>
        <v/>
      </c>
      <c r="BJ66" s="14" t="str">
        <f t="shared" si="53"/>
        <v/>
      </c>
      <c r="BK66" s="7"/>
      <c r="BL66" s="7"/>
      <c r="BM66" s="7"/>
      <c r="BN66" s="7"/>
      <c r="BO66" s="7"/>
      <c r="BP66" s="7"/>
      <c r="BQ66" s="7"/>
      <c r="BR66" s="7"/>
      <c r="BS66" s="7"/>
      <c r="BT66" s="7"/>
    </row>
    <row r="67" ht="15.75" customHeight="1">
      <c r="A67" s="16" t="s">
        <v>179</v>
      </c>
      <c r="D67" s="18" t="s">
        <v>180</v>
      </c>
      <c r="E67" s="18" t="s">
        <v>32</v>
      </c>
      <c r="F67" s="23" t="s">
        <v>27</v>
      </c>
      <c r="G67" s="12">
        <v>45852.0</v>
      </c>
      <c r="H67" s="12">
        <v>45856.0</v>
      </c>
      <c r="I67" s="24"/>
      <c r="J67" s="14" t="str">
        <f t="shared" si="54"/>
        <v/>
      </c>
      <c r="K67" s="14" t="str">
        <f t="shared" si="55"/>
        <v/>
      </c>
      <c r="L67" s="14" t="str">
        <f t="shared" si="3"/>
        <v/>
      </c>
      <c r="M67" s="14" t="str">
        <f t="shared" si="4"/>
        <v/>
      </c>
      <c r="N67" s="14" t="str">
        <f t="shared" si="5"/>
        <v/>
      </c>
      <c r="O67" s="14" t="str">
        <f t="shared" si="6"/>
        <v/>
      </c>
      <c r="P67" s="14" t="str">
        <f t="shared" si="7"/>
        <v/>
      </c>
      <c r="Q67" s="14" t="str">
        <f t="shared" si="8"/>
        <v/>
      </c>
      <c r="R67" s="14" t="str">
        <f t="shared" si="9"/>
        <v/>
      </c>
      <c r="S67" s="14" t="str">
        <f t="shared" si="10"/>
        <v/>
      </c>
      <c r="T67" s="14" t="str">
        <f t="shared" si="11"/>
        <v/>
      </c>
      <c r="U67" s="14" t="str">
        <f t="shared" si="12"/>
        <v/>
      </c>
      <c r="V67" s="14" t="str">
        <f t="shared" si="13"/>
        <v/>
      </c>
      <c r="W67" s="14" t="str">
        <f t="shared" si="14"/>
        <v/>
      </c>
      <c r="X67" s="25" t="str">
        <f t="shared" si="15"/>
        <v>진행 예정</v>
      </c>
      <c r="Y67" s="25" t="str">
        <f t="shared" si="16"/>
        <v>진행 예정</v>
      </c>
      <c r="Z67" s="25" t="str">
        <f t="shared" si="17"/>
        <v>진행 예정</v>
      </c>
      <c r="AA67" s="25" t="str">
        <f t="shared" si="18"/>
        <v>진행 예정</v>
      </c>
      <c r="AB67" s="25" t="str">
        <f t="shared" si="19"/>
        <v>진행 예정</v>
      </c>
      <c r="AC67" s="14" t="str">
        <f t="shared" si="20"/>
        <v/>
      </c>
      <c r="AD67" s="14" t="str">
        <f t="shared" si="21"/>
        <v/>
      </c>
      <c r="AE67" s="14" t="str">
        <f t="shared" si="22"/>
        <v/>
      </c>
      <c r="AF67" s="14" t="str">
        <f t="shared" si="23"/>
        <v/>
      </c>
      <c r="AG67" s="14" t="str">
        <f t="shared" si="24"/>
        <v/>
      </c>
      <c r="AH67" s="14" t="str">
        <f t="shared" si="25"/>
        <v/>
      </c>
      <c r="AI67" s="14" t="str">
        <f t="shared" si="26"/>
        <v/>
      </c>
      <c r="AJ67" s="14" t="str">
        <f t="shared" si="27"/>
        <v/>
      </c>
      <c r="AK67" s="14" t="str">
        <f t="shared" si="28"/>
        <v/>
      </c>
      <c r="AL67" s="14" t="str">
        <f t="shared" si="29"/>
        <v/>
      </c>
      <c r="AM67" s="14" t="str">
        <f t="shared" si="30"/>
        <v/>
      </c>
      <c r="AN67" s="14" t="str">
        <f t="shared" si="31"/>
        <v/>
      </c>
      <c r="AO67" s="14" t="str">
        <f t="shared" si="32"/>
        <v/>
      </c>
      <c r="AP67" s="14" t="str">
        <f t="shared" si="33"/>
        <v/>
      </c>
      <c r="AQ67" s="14" t="str">
        <f t="shared" si="34"/>
        <v/>
      </c>
      <c r="AR67" s="14" t="str">
        <f t="shared" si="35"/>
        <v/>
      </c>
      <c r="AS67" s="14" t="str">
        <f t="shared" si="36"/>
        <v/>
      </c>
      <c r="AT67" s="14" t="str">
        <f t="shared" si="37"/>
        <v/>
      </c>
      <c r="AU67" s="14" t="str">
        <f t="shared" si="38"/>
        <v/>
      </c>
      <c r="AV67" s="14" t="str">
        <f t="shared" si="39"/>
        <v/>
      </c>
      <c r="AW67" s="14" t="str">
        <f t="shared" si="40"/>
        <v/>
      </c>
      <c r="AX67" s="14" t="str">
        <f t="shared" si="41"/>
        <v/>
      </c>
      <c r="AY67" s="14" t="str">
        <f t="shared" si="42"/>
        <v/>
      </c>
      <c r="AZ67" s="14" t="str">
        <f t="shared" si="43"/>
        <v/>
      </c>
      <c r="BA67" s="14" t="str">
        <f t="shared" si="44"/>
        <v/>
      </c>
      <c r="BB67" s="14" t="str">
        <f t="shared" si="45"/>
        <v/>
      </c>
      <c r="BC67" s="14" t="str">
        <f t="shared" si="46"/>
        <v/>
      </c>
      <c r="BD67" s="14" t="str">
        <f t="shared" si="47"/>
        <v/>
      </c>
      <c r="BE67" s="14" t="str">
        <f t="shared" si="48"/>
        <v/>
      </c>
      <c r="BF67" s="14" t="str">
        <f t="shared" si="49"/>
        <v/>
      </c>
      <c r="BG67" s="14" t="str">
        <f t="shared" si="50"/>
        <v/>
      </c>
      <c r="BH67" s="14" t="str">
        <f t="shared" si="51"/>
        <v/>
      </c>
      <c r="BI67" s="14" t="str">
        <f t="shared" si="52"/>
        <v/>
      </c>
      <c r="BJ67" s="14" t="str">
        <f t="shared" si="53"/>
        <v/>
      </c>
      <c r="BK67" s="7"/>
      <c r="BL67" s="7"/>
      <c r="BM67" s="7"/>
      <c r="BN67" s="7"/>
      <c r="BO67" s="7"/>
      <c r="BP67" s="7"/>
      <c r="BQ67" s="7"/>
      <c r="BR67" s="7"/>
      <c r="BS67" s="7"/>
      <c r="BT67" s="7"/>
    </row>
    <row r="68" ht="15.75" customHeight="1">
      <c r="A68" s="26" t="s">
        <v>181</v>
      </c>
      <c r="B68" s="27"/>
      <c r="C68" s="27"/>
      <c r="D68" s="47" t="s">
        <v>182</v>
      </c>
      <c r="E68" s="47" t="s">
        <v>32</v>
      </c>
      <c r="F68" s="29" t="s">
        <v>27</v>
      </c>
      <c r="G68" s="12">
        <v>45852.0</v>
      </c>
      <c r="H68" s="12">
        <v>45856.0</v>
      </c>
      <c r="I68" s="30"/>
      <c r="J68" s="14" t="str">
        <f t="shared" si="54"/>
        <v/>
      </c>
      <c r="K68" s="14" t="str">
        <f t="shared" si="55"/>
        <v/>
      </c>
      <c r="L68" s="14" t="str">
        <f t="shared" si="3"/>
        <v/>
      </c>
      <c r="M68" s="14" t="str">
        <f t="shared" si="4"/>
        <v/>
      </c>
      <c r="N68" s="14" t="str">
        <f t="shared" si="5"/>
        <v/>
      </c>
      <c r="O68" s="14" t="str">
        <f t="shared" si="6"/>
        <v/>
      </c>
      <c r="P68" s="14" t="str">
        <f t="shared" si="7"/>
        <v/>
      </c>
      <c r="Q68" s="14" t="str">
        <f t="shared" si="8"/>
        <v/>
      </c>
      <c r="R68" s="14" t="str">
        <f t="shared" si="9"/>
        <v/>
      </c>
      <c r="S68" s="14" t="str">
        <f t="shared" si="10"/>
        <v/>
      </c>
      <c r="T68" s="14" t="str">
        <f t="shared" si="11"/>
        <v/>
      </c>
      <c r="U68" s="14" t="str">
        <f t="shared" si="12"/>
        <v/>
      </c>
      <c r="V68" s="14" t="str">
        <f t="shared" si="13"/>
        <v/>
      </c>
      <c r="W68" s="14" t="str">
        <f t="shared" si="14"/>
        <v/>
      </c>
      <c r="X68" s="25" t="str">
        <f t="shared" si="15"/>
        <v>진행 예정</v>
      </c>
      <c r="Y68" s="25" t="str">
        <f t="shared" si="16"/>
        <v>진행 예정</v>
      </c>
      <c r="Z68" s="25" t="str">
        <f t="shared" si="17"/>
        <v>진행 예정</v>
      </c>
      <c r="AA68" s="25" t="str">
        <f t="shared" si="18"/>
        <v>진행 예정</v>
      </c>
      <c r="AB68" s="25" t="str">
        <f t="shared" si="19"/>
        <v>진행 예정</v>
      </c>
      <c r="AC68" s="14" t="str">
        <f t="shared" si="20"/>
        <v/>
      </c>
      <c r="AD68" s="14" t="str">
        <f t="shared" si="21"/>
        <v/>
      </c>
      <c r="AE68" s="14" t="str">
        <f t="shared" si="22"/>
        <v/>
      </c>
      <c r="AF68" s="14" t="str">
        <f t="shared" si="23"/>
        <v/>
      </c>
      <c r="AG68" s="14" t="str">
        <f t="shared" si="24"/>
        <v/>
      </c>
      <c r="AH68" s="14" t="str">
        <f t="shared" si="25"/>
        <v/>
      </c>
      <c r="AI68" s="14" t="str">
        <f t="shared" si="26"/>
        <v/>
      </c>
      <c r="AJ68" s="14" t="str">
        <f t="shared" si="27"/>
        <v/>
      </c>
      <c r="AK68" s="14" t="str">
        <f t="shared" si="28"/>
        <v/>
      </c>
      <c r="AL68" s="14" t="str">
        <f t="shared" si="29"/>
        <v/>
      </c>
      <c r="AM68" s="14" t="str">
        <f t="shared" si="30"/>
        <v/>
      </c>
      <c r="AN68" s="14" t="str">
        <f t="shared" si="31"/>
        <v/>
      </c>
      <c r="AO68" s="14" t="str">
        <f t="shared" si="32"/>
        <v/>
      </c>
      <c r="AP68" s="14" t="str">
        <f t="shared" si="33"/>
        <v/>
      </c>
      <c r="AQ68" s="14" t="str">
        <f t="shared" si="34"/>
        <v/>
      </c>
      <c r="AR68" s="14" t="str">
        <f t="shared" si="35"/>
        <v/>
      </c>
      <c r="AS68" s="14" t="str">
        <f t="shared" si="36"/>
        <v/>
      </c>
      <c r="AT68" s="14" t="str">
        <f t="shared" si="37"/>
        <v/>
      </c>
      <c r="AU68" s="14" t="str">
        <f t="shared" si="38"/>
        <v/>
      </c>
      <c r="AV68" s="14" t="str">
        <f t="shared" si="39"/>
        <v/>
      </c>
      <c r="AW68" s="14" t="str">
        <f t="shared" si="40"/>
        <v/>
      </c>
      <c r="AX68" s="14" t="str">
        <f t="shared" si="41"/>
        <v/>
      </c>
      <c r="AY68" s="14" t="str">
        <f t="shared" si="42"/>
        <v/>
      </c>
      <c r="AZ68" s="14" t="str">
        <f t="shared" si="43"/>
        <v/>
      </c>
      <c r="BA68" s="14" t="str">
        <f t="shared" si="44"/>
        <v/>
      </c>
      <c r="BB68" s="14" t="str">
        <f t="shared" si="45"/>
        <v/>
      </c>
      <c r="BC68" s="14" t="str">
        <f t="shared" si="46"/>
        <v/>
      </c>
      <c r="BD68" s="14" t="str">
        <f t="shared" si="47"/>
        <v/>
      </c>
      <c r="BE68" s="14" t="str">
        <f t="shared" si="48"/>
        <v/>
      </c>
      <c r="BF68" s="14" t="str">
        <f t="shared" si="49"/>
        <v/>
      </c>
      <c r="BG68" s="14" t="str">
        <f t="shared" si="50"/>
        <v/>
      </c>
      <c r="BH68" s="14" t="str">
        <f t="shared" si="51"/>
        <v/>
      </c>
      <c r="BI68" s="14" t="str">
        <f t="shared" si="52"/>
        <v/>
      </c>
      <c r="BJ68" s="14" t="str">
        <f t="shared" si="53"/>
        <v/>
      </c>
      <c r="BK68" s="7"/>
      <c r="BL68" s="7"/>
      <c r="BM68" s="7"/>
      <c r="BN68" s="7"/>
      <c r="BO68" s="7"/>
      <c r="BP68" s="7"/>
      <c r="BQ68" s="7"/>
      <c r="BR68" s="7"/>
      <c r="BS68" s="7"/>
      <c r="BT68" s="7"/>
    </row>
    <row r="69" ht="15.75" customHeight="1">
      <c r="A69" s="8" t="s">
        <v>183</v>
      </c>
      <c r="B69" s="31" t="s">
        <v>184</v>
      </c>
      <c r="C69" s="33" t="s">
        <v>185</v>
      </c>
      <c r="D69" s="33" t="s">
        <v>186</v>
      </c>
      <c r="E69" s="11" t="s">
        <v>18</v>
      </c>
      <c r="F69" s="34" t="s">
        <v>27</v>
      </c>
      <c r="G69" s="12">
        <v>45873.0</v>
      </c>
      <c r="H69" s="12">
        <v>45883.0</v>
      </c>
      <c r="I69" s="35"/>
      <c r="J69" s="14" t="str">
        <f t="shared" si="54"/>
        <v/>
      </c>
      <c r="K69" s="14" t="str">
        <f t="shared" si="55"/>
        <v/>
      </c>
      <c r="L69" s="14" t="str">
        <f t="shared" si="3"/>
        <v/>
      </c>
      <c r="M69" s="14" t="str">
        <f t="shared" si="4"/>
        <v/>
      </c>
      <c r="N69" s="14" t="str">
        <f t="shared" si="5"/>
        <v/>
      </c>
      <c r="O69" s="14" t="str">
        <f t="shared" si="6"/>
        <v/>
      </c>
      <c r="P69" s="14" t="str">
        <f t="shared" si="7"/>
        <v/>
      </c>
      <c r="Q69" s="14" t="str">
        <f t="shared" si="8"/>
        <v/>
      </c>
      <c r="R69" s="14" t="str">
        <f t="shared" si="9"/>
        <v/>
      </c>
      <c r="S69" s="14" t="str">
        <f t="shared" si="10"/>
        <v/>
      </c>
      <c r="T69" s="14" t="str">
        <f t="shared" si="11"/>
        <v/>
      </c>
      <c r="U69" s="14" t="str">
        <f t="shared" si="12"/>
        <v/>
      </c>
      <c r="V69" s="14" t="str">
        <f t="shared" si="13"/>
        <v/>
      </c>
      <c r="W69" s="14" t="str">
        <f t="shared" si="14"/>
        <v/>
      </c>
      <c r="X69" s="14" t="str">
        <f t="shared" si="15"/>
        <v/>
      </c>
      <c r="Y69" s="14" t="str">
        <f t="shared" si="16"/>
        <v/>
      </c>
      <c r="Z69" s="14" t="str">
        <f t="shared" si="17"/>
        <v/>
      </c>
      <c r="AA69" s="14" t="str">
        <f t="shared" si="18"/>
        <v/>
      </c>
      <c r="AB69" s="14" t="str">
        <f t="shared" si="19"/>
        <v/>
      </c>
      <c r="AC69" s="14" t="str">
        <f t="shared" si="20"/>
        <v/>
      </c>
      <c r="AD69" s="14" t="str">
        <f t="shared" si="21"/>
        <v/>
      </c>
      <c r="AE69" s="14" t="str">
        <f t="shared" si="22"/>
        <v/>
      </c>
      <c r="AF69" s="14" t="str">
        <f t="shared" si="23"/>
        <v/>
      </c>
      <c r="AG69" s="14" t="str">
        <f t="shared" si="24"/>
        <v/>
      </c>
      <c r="AH69" s="14" t="str">
        <f t="shared" si="25"/>
        <v/>
      </c>
      <c r="AI69" s="14" t="str">
        <f t="shared" si="26"/>
        <v/>
      </c>
      <c r="AJ69" s="14" t="str">
        <f t="shared" si="27"/>
        <v/>
      </c>
      <c r="AK69" s="14" t="str">
        <f t="shared" si="28"/>
        <v/>
      </c>
      <c r="AL69" s="14" t="str">
        <f t="shared" si="29"/>
        <v/>
      </c>
      <c r="AM69" s="14" t="str">
        <f t="shared" si="30"/>
        <v/>
      </c>
      <c r="AN69" s="14" t="str">
        <f t="shared" si="31"/>
        <v/>
      </c>
      <c r="AO69" s="14" t="str">
        <f t="shared" si="32"/>
        <v/>
      </c>
      <c r="AP69" s="14" t="str">
        <f t="shared" si="33"/>
        <v/>
      </c>
      <c r="AQ69" s="14" t="str">
        <f t="shared" si="34"/>
        <v/>
      </c>
      <c r="AR69" s="14" t="str">
        <f t="shared" si="35"/>
        <v/>
      </c>
      <c r="AS69" s="25" t="str">
        <f t="shared" si="36"/>
        <v>진행 예정</v>
      </c>
      <c r="AT69" s="25" t="str">
        <f t="shared" si="37"/>
        <v>진행 예정</v>
      </c>
      <c r="AU69" s="25" t="str">
        <f t="shared" si="38"/>
        <v>진행 예정</v>
      </c>
      <c r="AV69" s="25" t="str">
        <f t="shared" si="39"/>
        <v>진행 예정</v>
      </c>
      <c r="AW69" s="25" t="str">
        <f t="shared" si="40"/>
        <v>진행 예정</v>
      </c>
      <c r="AX69" s="25" t="str">
        <f t="shared" si="41"/>
        <v>진행 예정</v>
      </c>
      <c r="AY69" s="25" t="str">
        <f t="shared" si="42"/>
        <v>진행 예정</v>
      </c>
      <c r="AZ69" s="25" t="str">
        <f t="shared" si="43"/>
        <v>진행 예정</v>
      </c>
      <c r="BA69" s="25" t="str">
        <f t="shared" si="44"/>
        <v>진행 예정</v>
      </c>
      <c r="BB69" s="25" t="str">
        <f t="shared" si="45"/>
        <v>진행 예정</v>
      </c>
      <c r="BC69" s="25" t="str">
        <f t="shared" si="46"/>
        <v>진행 예정</v>
      </c>
      <c r="BD69" s="14" t="str">
        <f t="shared" si="47"/>
        <v/>
      </c>
      <c r="BE69" s="14" t="str">
        <f t="shared" si="48"/>
        <v/>
      </c>
      <c r="BF69" s="14" t="str">
        <f t="shared" si="49"/>
        <v/>
      </c>
      <c r="BG69" s="14" t="str">
        <f t="shared" si="50"/>
        <v/>
      </c>
      <c r="BH69" s="14" t="str">
        <f t="shared" si="51"/>
        <v/>
      </c>
      <c r="BI69" s="14" t="str">
        <f t="shared" si="52"/>
        <v/>
      </c>
      <c r="BJ69" s="14" t="str">
        <f t="shared" si="53"/>
        <v/>
      </c>
      <c r="BK69" s="7"/>
      <c r="BL69" s="7"/>
      <c r="BM69" s="7"/>
      <c r="BN69" s="7"/>
      <c r="BO69" s="7"/>
      <c r="BP69" s="7"/>
      <c r="BQ69" s="7"/>
      <c r="BR69" s="7"/>
      <c r="BS69" s="7"/>
      <c r="BT69" s="7"/>
    </row>
    <row r="70" ht="15.75" customHeight="1">
      <c r="A70" s="16" t="s">
        <v>187</v>
      </c>
      <c r="C70" s="37" t="s">
        <v>188</v>
      </c>
      <c r="D70" s="22" t="s">
        <v>189</v>
      </c>
      <c r="E70" s="18" t="s">
        <v>18</v>
      </c>
      <c r="F70" s="23" t="s">
        <v>27</v>
      </c>
      <c r="G70" s="12">
        <v>45873.0</v>
      </c>
      <c r="H70" s="12">
        <v>45883.0</v>
      </c>
      <c r="I70" s="24"/>
      <c r="J70" s="14" t="str">
        <f t="shared" si="54"/>
        <v/>
      </c>
      <c r="K70" s="14" t="str">
        <f t="shared" si="55"/>
        <v/>
      </c>
      <c r="L70" s="14" t="str">
        <f t="shared" si="3"/>
        <v/>
      </c>
      <c r="M70" s="14" t="str">
        <f t="shared" si="4"/>
        <v/>
      </c>
      <c r="N70" s="14" t="str">
        <f t="shared" si="5"/>
        <v/>
      </c>
      <c r="O70" s="14" t="str">
        <f t="shared" si="6"/>
        <v/>
      </c>
      <c r="P70" s="14" t="str">
        <f t="shared" si="7"/>
        <v/>
      </c>
      <c r="Q70" s="14" t="str">
        <f t="shared" si="8"/>
        <v/>
      </c>
      <c r="R70" s="14" t="str">
        <f t="shared" si="9"/>
        <v/>
      </c>
      <c r="S70" s="14" t="str">
        <f t="shared" si="10"/>
        <v/>
      </c>
      <c r="T70" s="14" t="str">
        <f t="shared" si="11"/>
        <v/>
      </c>
      <c r="U70" s="14" t="str">
        <f t="shared" si="12"/>
        <v/>
      </c>
      <c r="V70" s="14" t="str">
        <f t="shared" si="13"/>
        <v/>
      </c>
      <c r="W70" s="14" t="str">
        <f t="shared" si="14"/>
        <v/>
      </c>
      <c r="X70" s="14" t="str">
        <f t="shared" si="15"/>
        <v/>
      </c>
      <c r="Y70" s="14" t="str">
        <f t="shared" si="16"/>
        <v/>
      </c>
      <c r="Z70" s="14" t="str">
        <f t="shared" si="17"/>
        <v/>
      </c>
      <c r="AA70" s="14" t="str">
        <f t="shared" si="18"/>
        <v/>
      </c>
      <c r="AB70" s="14" t="str">
        <f t="shared" si="19"/>
        <v/>
      </c>
      <c r="AC70" s="14" t="str">
        <f t="shared" si="20"/>
        <v/>
      </c>
      <c r="AD70" s="14" t="str">
        <f t="shared" si="21"/>
        <v/>
      </c>
      <c r="AE70" s="14" t="str">
        <f t="shared" si="22"/>
        <v/>
      </c>
      <c r="AF70" s="14" t="str">
        <f t="shared" si="23"/>
        <v/>
      </c>
      <c r="AG70" s="14" t="str">
        <f t="shared" si="24"/>
        <v/>
      </c>
      <c r="AH70" s="14" t="str">
        <f t="shared" si="25"/>
        <v/>
      </c>
      <c r="AI70" s="14" t="str">
        <f t="shared" si="26"/>
        <v/>
      </c>
      <c r="AJ70" s="14" t="str">
        <f t="shared" si="27"/>
        <v/>
      </c>
      <c r="AK70" s="14" t="str">
        <f t="shared" si="28"/>
        <v/>
      </c>
      <c r="AL70" s="14" t="str">
        <f t="shared" si="29"/>
        <v/>
      </c>
      <c r="AM70" s="14" t="str">
        <f t="shared" si="30"/>
        <v/>
      </c>
      <c r="AN70" s="14" t="str">
        <f t="shared" si="31"/>
        <v/>
      </c>
      <c r="AO70" s="14" t="str">
        <f t="shared" si="32"/>
        <v/>
      </c>
      <c r="AP70" s="14" t="str">
        <f t="shared" si="33"/>
        <v/>
      </c>
      <c r="AQ70" s="14" t="str">
        <f t="shared" si="34"/>
        <v/>
      </c>
      <c r="AR70" s="14" t="str">
        <f t="shared" si="35"/>
        <v/>
      </c>
      <c r="AS70" s="25" t="str">
        <f t="shared" si="36"/>
        <v>진행 예정</v>
      </c>
      <c r="AT70" s="25" t="str">
        <f t="shared" si="37"/>
        <v>진행 예정</v>
      </c>
      <c r="AU70" s="25" t="str">
        <f t="shared" si="38"/>
        <v>진행 예정</v>
      </c>
      <c r="AV70" s="25" t="str">
        <f t="shared" si="39"/>
        <v>진행 예정</v>
      </c>
      <c r="AW70" s="25" t="str">
        <f t="shared" si="40"/>
        <v>진행 예정</v>
      </c>
      <c r="AX70" s="25" t="str">
        <f t="shared" si="41"/>
        <v>진행 예정</v>
      </c>
      <c r="AY70" s="25" t="str">
        <f t="shared" si="42"/>
        <v>진행 예정</v>
      </c>
      <c r="AZ70" s="25" t="str">
        <f t="shared" si="43"/>
        <v>진행 예정</v>
      </c>
      <c r="BA70" s="25" t="str">
        <f t="shared" si="44"/>
        <v>진행 예정</v>
      </c>
      <c r="BB70" s="25" t="str">
        <f t="shared" si="45"/>
        <v>진행 예정</v>
      </c>
      <c r="BC70" s="25" t="str">
        <f t="shared" si="46"/>
        <v>진행 예정</v>
      </c>
      <c r="BD70" s="14" t="str">
        <f t="shared" si="47"/>
        <v/>
      </c>
      <c r="BE70" s="14" t="str">
        <f t="shared" si="48"/>
        <v/>
      </c>
      <c r="BF70" s="14" t="str">
        <f t="shared" si="49"/>
        <v/>
      </c>
      <c r="BG70" s="14" t="str">
        <f t="shared" si="50"/>
        <v/>
      </c>
      <c r="BH70" s="14" t="str">
        <f t="shared" si="51"/>
        <v/>
      </c>
      <c r="BI70" s="14" t="str">
        <f t="shared" si="52"/>
        <v/>
      </c>
      <c r="BJ70" s="14" t="str">
        <f t="shared" si="53"/>
        <v/>
      </c>
      <c r="BK70" s="7"/>
      <c r="BL70" s="7"/>
      <c r="BM70" s="7"/>
      <c r="BN70" s="7"/>
      <c r="BO70" s="7"/>
      <c r="BP70" s="7"/>
      <c r="BQ70" s="7"/>
      <c r="BR70" s="7"/>
      <c r="BS70" s="7"/>
      <c r="BT70" s="7"/>
    </row>
    <row r="71" ht="15.75" customHeight="1">
      <c r="A71" s="16" t="s">
        <v>190</v>
      </c>
      <c r="D71" s="22" t="s">
        <v>191</v>
      </c>
      <c r="E71" s="18" t="s">
        <v>18</v>
      </c>
      <c r="F71" s="23" t="s">
        <v>27</v>
      </c>
      <c r="G71" s="12">
        <v>45873.0</v>
      </c>
      <c r="H71" s="12">
        <v>45883.0</v>
      </c>
      <c r="I71" s="24"/>
      <c r="J71" s="14" t="str">
        <f t="shared" si="54"/>
        <v/>
      </c>
      <c r="K71" s="14" t="str">
        <f t="shared" si="55"/>
        <v/>
      </c>
      <c r="L71" s="14" t="str">
        <f t="shared" si="3"/>
        <v/>
      </c>
      <c r="M71" s="14" t="str">
        <f t="shared" si="4"/>
        <v/>
      </c>
      <c r="N71" s="14" t="str">
        <f t="shared" si="5"/>
        <v/>
      </c>
      <c r="O71" s="14" t="str">
        <f t="shared" si="6"/>
        <v/>
      </c>
      <c r="P71" s="14" t="str">
        <f t="shared" si="7"/>
        <v/>
      </c>
      <c r="Q71" s="14" t="str">
        <f t="shared" si="8"/>
        <v/>
      </c>
      <c r="R71" s="14" t="str">
        <f t="shared" si="9"/>
        <v/>
      </c>
      <c r="S71" s="14" t="str">
        <f t="shared" si="10"/>
        <v/>
      </c>
      <c r="T71" s="14" t="str">
        <f t="shared" si="11"/>
        <v/>
      </c>
      <c r="U71" s="14" t="str">
        <f t="shared" si="12"/>
        <v/>
      </c>
      <c r="V71" s="14" t="str">
        <f t="shared" si="13"/>
        <v/>
      </c>
      <c r="W71" s="14" t="str">
        <f t="shared" si="14"/>
        <v/>
      </c>
      <c r="X71" s="14" t="str">
        <f t="shared" si="15"/>
        <v/>
      </c>
      <c r="Y71" s="14" t="str">
        <f t="shared" si="16"/>
        <v/>
      </c>
      <c r="Z71" s="14" t="str">
        <f t="shared" si="17"/>
        <v/>
      </c>
      <c r="AA71" s="14" t="str">
        <f t="shared" si="18"/>
        <v/>
      </c>
      <c r="AB71" s="14" t="str">
        <f t="shared" si="19"/>
        <v/>
      </c>
      <c r="AC71" s="14" t="str">
        <f t="shared" si="20"/>
        <v/>
      </c>
      <c r="AD71" s="14" t="str">
        <f t="shared" si="21"/>
        <v/>
      </c>
      <c r="AE71" s="14" t="str">
        <f t="shared" si="22"/>
        <v/>
      </c>
      <c r="AF71" s="14" t="str">
        <f t="shared" si="23"/>
        <v/>
      </c>
      <c r="AG71" s="14" t="str">
        <f t="shared" si="24"/>
        <v/>
      </c>
      <c r="AH71" s="14" t="str">
        <f t="shared" si="25"/>
        <v/>
      </c>
      <c r="AI71" s="14" t="str">
        <f t="shared" si="26"/>
        <v/>
      </c>
      <c r="AJ71" s="14" t="str">
        <f t="shared" si="27"/>
        <v/>
      </c>
      <c r="AK71" s="14" t="str">
        <f t="shared" si="28"/>
        <v/>
      </c>
      <c r="AL71" s="14" t="str">
        <f t="shared" si="29"/>
        <v/>
      </c>
      <c r="AM71" s="14" t="str">
        <f t="shared" si="30"/>
        <v/>
      </c>
      <c r="AN71" s="14" t="str">
        <f t="shared" si="31"/>
        <v/>
      </c>
      <c r="AO71" s="14" t="str">
        <f t="shared" si="32"/>
        <v/>
      </c>
      <c r="AP71" s="14" t="str">
        <f t="shared" si="33"/>
        <v/>
      </c>
      <c r="AQ71" s="14" t="str">
        <f t="shared" si="34"/>
        <v/>
      </c>
      <c r="AR71" s="14" t="str">
        <f t="shared" si="35"/>
        <v/>
      </c>
      <c r="AS71" s="25" t="str">
        <f t="shared" si="36"/>
        <v>진행 예정</v>
      </c>
      <c r="AT71" s="25" t="str">
        <f t="shared" si="37"/>
        <v>진행 예정</v>
      </c>
      <c r="AU71" s="25" t="str">
        <f t="shared" si="38"/>
        <v>진행 예정</v>
      </c>
      <c r="AV71" s="25" t="str">
        <f t="shared" si="39"/>
        <v>진행 예정</v>
      </c>
      <c r="AW71" s="25" t="str">
        <f t="shared" si="40"/>
        <v>진행 예정</v>
      </c>
      <c r="AX71" s="25" t="str">
        <f t="shared" si="41"/>
        <v>진행 예정</v>
      </c>
      <c r="AY71" s="25" t="str">
        <f t="shared" si="42"/>
        <v>진행 예정</v>
      </c>
      <c r="AZ71" s="25" t="str">
        <f t="shared" si="43"/>
        <v>진행 예정</v>
      </c>
      <c r="BA71" s="25" t="str">
        <f t="shared" si="44"/>
        <v>진행 예정</v>
      </c>
      <c r="BB71" s="25" t="str">
        <f t="shared" si="45"/>
        <v>진행 예정</v>
      </c>
      <c r="BC71" s="25" t="str">
        <f t="shared" si="46"/>
        <v>진행 예정</v>
      </c>
      <c r="BD71" s="14" t="str">
        <f t="shared" si="47"/>
        <v/>
      </c>
      <c r="BE71" s="14" t="str">
        <f t="shared" si="48"/>
        <v/>
      </c>
      <c r="BF71" s="14" t="str">
        <f t="shared" si="49"/>
        <v/>
      </c>
      <c r="BG71" s="14" t="str">
        <f t="shared" si="50"/>
        <v/>
      </c>
      <c r="BH71" s="14" t="str">
        <f t="shared" si="51"/>
        <v/>
      </c>
      <c r="BI71" s="14" t="str">
        <f t="shared" si="52"/>
        <v/>
      </c>
      <c r="BJ71" s="14" t="str">
        <f t="shared" si="53"/>
        <v/>
      </c>
      <c r="BK71" s="7"/>
      <c r="BL71" s="7"/>
      <c r="BM71" s="7"/>
      <c r="BN71" s="7"/>
      <c r="BO71" s="7"/>
      <c r="BP71" s="7"/>
      <c r="BQ71" s="7"/>
      <c r="BR71" s="7"/>
      <c r="BS71" s="7"/>
      <c r="BT71" s="7"/>
    </row>
    <row r="72" ht="15.75" customHeight="1">
      <c r="A72" s="16" t="s">
        <v>192</v>
      </c>
      <c r="D72" s="22" t="s">
        <v>193</v>
      </c>
      <c r="E72" s="18" t="s">
        <v>18</v>
      </c>
      <c r="F72" s="23" t="s">
        <v>27</v>
      </c>
      <c r="G72" s="12">
        <v>45873.0</v>
      </c>
      <c r="H72" s="12">
        <v>45883.0</v>
      </c>
      <c r="I72" s="24"/>
      <c r="J72" s="14" t="str">
        <f t="shared" si="54"/>
        <v/>
      </c>
      <c r="K72" s="14" t="str">
        <f t="shared" si="55"/>
        <v/>
      </c>
      <c r="L72" s="14" t="str">
        <f t="shared" si="3"/>
        <v/>
      </c>
      <c r="M72" s="14" t="str">
        <f t="shared" si="4"/>
        <v/>
      </c>
      <c r="N72" s="14" t="str">
        <f t="shared" si="5"/>
        <v/>
      </c>
      <c r="O72" s="14" t="str">
        <f t="shared" si="6"/>
        <v/>
      </c>
      <c r="P72" s="14" t="str">
        <f t="shared" si="7"/>
        <v/>
      </c>
      <c r="Q72" s="14" t="str">
        <f t="shared" si="8"/>
        <v/>
      </c>
      <c r="R72" s="14" t="str">
        <f t="shared" si="9"/>
        <v/>
      </c>
      <c r="S72" s="14" t="str">
        <f t="shared" si="10"/>
        <v/>
      </c>
      <c r="T72" s="14" t="str">
        <f t="shared" si="11"/>
        <v/>
      </c>
      <c r="U72" s="14" t="str">
        <f t="shared" si="12"/>
        <v/>
      </c>
      <c r="V72" s="14" t="str">
        <f t="shared" si="13"/>
        <v/>
      </c>
      <c r="W72" s="14" t="str">
        <f t="shared" si="14"/>
        <v/>
      </c>
      <c r="X72" s="14" t="str">
        <f t="shared" si="15"/>
        <v/>
      </c>
      <c r="Y72" s="14" t="str">
        <f t="shared" si="16"/>
        <v/>
      </c>
      <c r="Z72" s="14" t="str">
        <f t="shared" si="17"/>
        <v/>
      </c>
      <c r="AA72" s="14" t="str">
        <f t="shared" si="18"/>
        <v/>
      </c>
      <c r="AB72" s="14" t="str">
        <f t="shared" si="19"/>
        <v/>
      </c>
      <c r="AC72" s="14" t="str">
        <f t="shared" si="20"/>
        <v/>
      </c>
      <c r="AD72" s="14" t="str">
        <f t="shared" si="21"/>
        <v/>
      </c>
      <c r="AE72" s="14" t="str">
        <f t="shared" si="22"/>
        <v/>
      </c>
      <c r="AF72" s="14" t="str">
        <f t="shared" si="23"/>
        <v/>
      </c>
      <c r="AG72" s="14" t="str">
        <f t="shared" si="24"/>
        <v/>
      </c>
      <c r="AH72" s="14" t="str">
        <f t="shared" si="25"/>
        <v/>
      </c>
      <c r="AI72" s="14" t="str">
        <f t="shared" si="26"/>
        <v/>
      </c>
      <c r="AJ72" s="14" t="str">
        <f t="shared" si="27"/>
        <v/>
      </c>
      <c r="AK72" s="14" t="str">
        <f t="shared" si="28"/>
        <v/>
      </c>
      <c r="AL72" s="14" t="str">
        <f t="shared" si="29"/>
        <v/>
      </c>
      <c r="AM72" s="14" t="str">
        <f t="shared" si="30"/>
        <v/>
      </c>
      <c r="AN72" s="14" t="str">
        <f t="shared" si="31"/>
        <v/>
      </c>
      <c r="AO72" s="14" t="str">
        <f t="shared" si="32"/>
        <v/>
      </c>
      <c r="AP72" s="14" t="str">
        <f t="shared" si="33"/>
        <v/>
      </c>
      <c r="AQ72" s="14" t="str">
        <f t="shared" si="34"/>
        <v/>
      </c>
      <c r="AR72" s="14" t="str">
        <f t="shared" si="35"/>
        <v/>
      </c>
      <c r="AS72" s="25" t="str">
        <f t="shared" si="36"/>
        <v>진행 예정</v>
      </c>
      <c r="AT72" s="25" t="str">
        <f t="shared" si="37"/>
        <v>진행 예정</v>
      </c>
      <c r="AU72" s="25" t="str">
        <f t="shared" si="38"/>
        <v>진행 예정</v>
      </c>
      <c r="AV72" s="25" t="str">
        <f t="shared" si="39"/>
        <v>진행 예정</v>
      </c>
      <c r="AW72" s="25" t="str">
        <f t="shared" si="40"/>
        <v>진행 예정</v>
      </c>
      <c r="AX72" s="25" t="str">
        <f t="shared" si="41"/>
        <v>진행 예정</v>
      </c>
      <c r="AY72" s="25" t="str">
        <f t="shared" si="42"/>
        <v>진행 예정</v>
      </c>
      <c r="AZ72" s="25" t="str">
        <f t="shared" si="43"/>
        <v>진행 예정</v>
      </c>
      <c r="BA72" s="25" t="str">
        <f t="shared" si="44"/>
        <v>진행 예정</v>
      </c>
      <c r="BB72" s="25" t="str">
        <f t="shared" si="45"/>
        <v>진행 예정</v>
      </c>
      <c r="BC72" s="25" t="str">
        <f t="shared" si="46"/>
        <v>진행 예정</v>
      </c>
      <c r="BD72" s="14" t="str">
        <f t="shared" si="47"/>
        <v/>
      </c>
      <c r="BE72" s="14" t="str">
        <f t="shared" si="48"/>
        <v/>
      </c>
      <c r="BF72" s="14" t="str">
        <f t="shared" si="49"/>
        <v/>
      </c>
      <c r="BG72" s="14" t="str">
        <f t="shared" si="50"/>
        <v/>
      </c>
      <c r="BH72" s="14" t="str">
        <f t="shared" si="51"/>
        <v/>
      </c>
      <c r="BI72" s="14" t="str">
        <f t="shared" si="52"/>
        <v/>
      </c>
      <c r="BJ72" s="14" t="str">
        <f t="shared" si="53"/>
        <v/>
      </c>
      <c r="BK72" s="7"/>
      <c r="BL72" s="7"/>
      <c r="BM72" s="7"/>
      <c r="BN72" s="7"/>
      <c r="BO72" s="7"/>
      <c r="BP72" s="7"/>
      <c r="BQ72" s="7"/>
      <c r="BR72" s="7"/>
      <c r="BS72" s="7"/>
      <c r="BT72" s="7"/>
    </row>
    <row r="73" ht="15.75" customHeight="1">
      <c r="A73" s="26" t="s">
        <v>194</v>
      </c>
      <c r="B73" s="27"/>
      <c r="C73" s="27"/>
      <c r="D73" s="28" t="s">
        <v>195</v>
      </c>
      <c r="E73" s="47" t="s">
        <v>18</v>
      </c>
      <c r="F73" s="29" t="s">
        <v>27</v>
      </c>
      <c r="G73" s="12">
        <v>45873.0</v>
      </c>
      <c r="H73" s="12">
        <v>45883.0</v>
      </c>
      <c r="I73" s="30"/>
      <c r="J73" s="14" t="str">
        <f t="shared" si="54"/>
        <v/>
      </c>
      <c r="K73" s="14" t="str">
        <f t="shared" si="55"/>
        <v/>
      </c>
      <c r="L73" s="14" t="str">
        <f t="shared" si="3"/>
        <v/>
      </c>
      <c r="M73" s="14" t="str">
        <f t="shared" si="4"/>
        <v/>
      </c>
      <c r="N73" s="14" t="str">
        <f t="shared" si="5"/>
        <v/>
      </c>
      <c r="O73" s="14" t="str">
        <f t="shared" si="6"/>
        <v/>
      </c>
      <c r="P73" s="14" t="str">
        <f t="shared" si="7"/>
        <v/>
      </c>
      <c r="Q73" s="14" t="str">
        <f t="shared" si="8"/>
        <v/>
      </c>
      <c r="R73" s="14" t="str">
        <f t="shared" si="9"/>
        <v/>
      </c>
      <c r="S73" s="14" t="str">
        <f t="shared" si="10"/>
        <v/>
      </c>
      <c r="T73" s="14" t="str">
        <f t="shared" si="11"/>
        <v/>
      </c>
      <c r="U73" s="14" t="str">
        <f t="shared" si="12"/>
        <v/>
      </c>
      <c r="V73" s="14" t="str">
        <f t="shared" si="13"/>
        <v/>
      </c>
      <c r="W73" s="14" t="str">
        <f t="shared" si="14"/>
        <v/>
      </c>
      <c r="X73" s="14" t="str">
        <f t="shared" si="15"/>
        <v/>
      </c>
      <c r="Y73" s="14" t="str">
        <f t="shared" si="16"/>
        <v/>
      </c>
      <c r="Z73" s="14" t="str">
        <f t="shared" si="17"/>
        <v/>
      </c>
      <c r="AA73" s="14" t="str">
        <f t="shared" si="18"/>
        <v/>
      </c>
      <c r="AB73" s="14" t="str">
        <f t="shared" si="19"/>
        <v/>
      </c>
      <c r="AC73" s="14" t="str">
        <f t="shared" si="20"/>
        <v/>
      </c>
      <c r="AD73" s="14" t="str">
        <f t="shared" si="21"/>
        <v/>
      </c>
      <c r="AE73" s="14" t="str">
        <f t="shared" si="22"/>
        <v/>
      </c>
      <c r="AF73" s="14" t="str">
        <f t="shared" si="23"/>
        <v/>
      </c>
      <c r="AG73" s="14" t="str">
        <f t="shared" si="24"/>
        <v/>
      </c>
      <c r="AH73" s="14" t="str">
        <f t="shared" si="25"/>
        <v/>
      </c>
      <c r="AI73" s="14" t="str">
        <f t="shared" si="26"/>
        <v/>
      </c>
      <c r="AJ73" s="14" t="str">
        <f t="shared" si="27"/>
        <v/>
      </c>
      <c r="AK73" s="14" t="str">
        <f t="shared" si="28"/>
        <v/>
      </c>
      <c r="AL73" s="14" t="str">
        <f t="shared" si="29"/>
        <v/>
      </c>
      <c r="AM73" s="14" t="str">
        <f t="shared" si="30"/>
        <v/>
      </c>
      <c r="AN73" s="14" t="str">
        <f t="shared" si="31"/>
        <v/>
      </c>
      <c r="AO73" s="14" t="str">
        <f t="shared" si="32"/>
        <v/>
      </c>
      <c r="AP73" s="14" t="str">
        <f t="shared" si="33"/>
        <v/>
      </c>
      <c r="AQ73" s="14" t="str">
        <f t="shared" si="34"/>
        <v/>
      </c>
      <c r="AR73" s="14" t="str">
        <f t="shared" si="35"/>
        <v/>
      </c>
      <c r="AS73" s="25" t="str">
        <f t="shared" si="36"/>
        <v>진행 예정</v>
      </c>
      <c r="AT73" s="25" t="str">
        <f t="shared" si="37"/>
        <v>진행 예정</v>
      </c>
      <c r="AU73" s="25" t="str">
        <f t="shared" si="38"/>
        <v>진행 예정</v>
      </c>
      <c r="AV73" s="25" t="str">
        <f t="shared" si="39"/>
        <v>진행 예정</v>
      </c>
      <c r="AW73" s="25" t="str">
        <f t="shared" si="40"/>
        <v>진행 예정</v>
      </c>
      <c r="AX73" s="25" t="str">
        <f t="shared" si="41"/>
        <v>진행 예정</v>
      </c>
      <c r="AY73" s="25" t="str">
        <f t="shared" si="42"/>
        <v>진행 예정</v>
      </c>
      <c r="AZ73" s="25" t="str">
        <f t="shared" si="43"/>
        <v>진행 예정</v>
      </c>
      <c r="BA73" s="25" t="str">
        <f t="shared" si="44"/>
        <v>진행 예정</v>
      </c>
      <c r="BB73" s="25" t="str">
        <f t="shared" si="45"/>
        <v>진행 예정</v>
      </c>
      <c r="BC73" s="25" t="str">
        <f t="shared" si="46"/>
        <v>진행 예정</v>
      </c>
      <c r="BD73" s="14" t="str">
        <f t="shared" si="47"/>
        <v/>
      </c>
      <c r="BE73" s="14" t="str">
        <f t="shared" si="48"/>
        <v/>
      </c>
      <c r="BF73" s="14" t="str">
        <f t="shared" si="49"/>
        <v/>
      </c>
      <c r="BG73" s="14" t="str">
        <f t="shared" si="50"/>
        <v/>
      </c>
      <c r="BH73" s="14" t="str">
        <f t="shared" si="51"/>
        <v/>
      </c>
      <c r="BI73" s="14" t="str">
        <f t="shared" si="52"/>
        <v/>
      </c>
      <c r="BJ73" s="14" t="str">
        <f t="shared" si="53"/>
        <v/>
      </c>
      <c r="BK73" s="7"/>
      <c r="BL73" s="7"/>
      <c r="BM73" s="7"/>
      <c r="BN73" s="7"/>
      <c r="BO73" s="7"/>
      <c r="BP73" s="7"/>
      <c r="BQ73" s="7"/>
      <c r="BR73" s="7"/>
      <c r="BS73" s="7"/>
      <c r="BT73" s="7"/>
    </row>
    <row r="74" ht="15.75" customHeight="1">
      <c r="A74" s="8" t="s">
        <v>196</v>
      </c>
      <c r="B74" s="50" t="s">
        <v>19</v>
      </c>
      <c r="C74" s="51" t="s">
        <v>197</v>
      </c>
      <c r="D74" s="52" t="s">
        <v>198</v>
      </c>
      <c r="E74" s="11" t="s">
        <v>121</v>
      </c>
      <c r="F74" s="34" t="s">
        <v>27</v>
      </c>
      <c r="G74" s="12">
        <v>45887.0</v>
      </c>
      <c r="H74" s="12">
        <v>45889.0</v>
      </c>
      <c r="I74" s="35"/>
      <c r="J74" s="14" t="str">
        <f t="shared" si="54"/>
        <v/>
      </c>
      <c r="K74" s="14" t="str">
        <f t="shared" si="55"/>
        <v/>
      </c>
      <c r="L74" s="14" t="str">
        <f t="shared" si="3"/>
        <v/>
      </c>
      <c r="M74" s="14" t="str">
        <f t="shared" si="4"/>
        <v/>
      </c>
      <c r="N74" s="14" t="str">
        <f t="shared" si="5"/>
        <v/>
      </c>
      <c r="O74" s="14" t="str">
        <f t="shared" si="6"/>
        <v/>
      </c>
      <c r="P74" s="14" t="str">
        <f t="shared" si="7"/>
        <v/>
      </c>
      <c r="Q74" s="14" t="str">
        <f t="shared" si="8"/>
        <v/>
      </c>
      <c r="R74" s="14" t="str">
        <f t="shared" si="9"/>
        <v/>
      </c>
      <c r="S74" s="14" t="str">
        <f t="shared" si="10"/>
        <v/>
      </c>
      <c r="T74" s="14" t="str">
        <f t="shared" si="11"/>
        <v/>
      </c>
      <c r="U74" s="14" t="str">
        <f t="shared" si="12"/>
        <v/>
      </c>
      <c r="V74" s="14" t="str">
        <f t="shared" si="13"/>
        <v/>
      </c>
      <c r="W74" s="14" t="str">
        <f t="shared" si="14"/>
        <v/>
      </c>
      <c r="X74" s="14" t="str">
        <f t="shared" si="15"/>
        <v/>
      </c>
      <c r="Y74" s="14" t="str">
        <f t="shared" si="16"/>
        <v/>
      </c>
      <c r="Z74" s="14" t="str">
        <f t="shared" si="17"/>
        <v/>
      </c>
      <c r="AA74" s="14" t="str">
        <f t="shared" si="18"/>
        <v/>
      </c>
      <c r="AB74" s="14" t="str">
        <f t="shared" si="19"/>
        <v/>
      </c>
      <c r="AC74" s="14" t="str">
        <f t="shared" si="20"/>
        <v/>
      </c>
      <c r="AD74" s="14" t="str">
        <f t="shared" si="21"/>
        <v/>
      </c>
      <c r="AE74" s="14" t="str">
        <f t="shared" si="22"/>
        <v/>
      </c>
      <c r="AF74" s="14" t="str">
        <f t="shared" si="23"/>
        <v/>
      </c>
      <c r="AG74" s="14" t="str">
        <f t="shared" si="24"/>
        <v/>
      </c>
      <c r="AH74" s="14" t="str">
        <f t="shared" si="25"/>
        <v/>
      </c>
      <c r="AI74" s="14" t="str">
        <f t="shared" si="26"/>
        <v/>
      </c>
      <c r="AJ74" s="14" t="str">
        <f t="shared" si="27"/>
        <v/>
      </c>
      <c r="AK74" s="14" t="str">
        <f t="shared" si="28"/>
        <v/>
      </c>
      <c r="AL74" s="14" t="str">
        <f t="shared" si="29"/>
        <v/>
      </c>
      <c r="AM74" s="14" t="str">
        <f t="shared" si="30"/>
        <v/>
      </c>
      <c r="AN74" s="14" t="str">
        <f t="shared" si="31"/>
        <v/>
      </c>
      <c r="AO74" s="14" t="str">
        <f t="shared" si="32"/>
        <v/>
      </c>
      <c r="AP74" s="14" t="str">
        <f t="shared" si="33"/>
        <v/>
      </c>
      <c r="AQ74" s="14" t="str">
        <f t="shared" si="34"/>
        <v/>
      </c>
      <c r="AR74" s="14" t="str">
        <f t="shared" si="35"/>
        <v/>
      </c>
      <c r="AS74" s="14" t="str">
        <f t="shared" si="36"/>
        <v/>
      </c>
      <c r="AT74" s="14" t="str">
        <f t="shared" si="37"/>
        <v/>
      </c>
      <c r="AU74" s="14" t="str">
        <f t="shared" si="38"/>
        <v/>
      </c>
      <c r="AV74" s="14" t="str">
        <f t="shared" si="39"/>
        <v/>
      </c>
      <c r="AW74" s="14" t="str">
        <f t="shared" si="40"/>
        <v/>
      </c>
      <c r="AX74" s="14" t="str">
        <f t="shared" si="41"/>
        <v/>
      </c>
      <c r="AY74" s="14" t="str">
        <f t="shared" si="42"/>
        <v/>
      </c>
      <c r="AZ74" s="14" t="str">
        <f t="shared" si="43"/>
        <v/>
      </c>
      <c r="BA74" s="14" t="str">
        <f t="shared" si="44"/>
        <v/>
      </c>
      <c r="BB74" s="14" t="str">
        <f t="shared" si="45"/>
        <v/>
      </c>
      <c r="BC74" s="14" t="str">
        <f t="shared" si="46"/>
        <v/>
      </c>
      <c r="BD74" s="14" t="str">
        <f t="shared" si="47"/>
        <v/>
      </c>
      <c r="BE74" s="14" t="str">
        <f t="shared" si="48"/>
        <v/>
      </c>
      <c r="BF74" s="14" t="str">
        <f t="shared" si="49"/>
        <v/>
      </c>
      <c r="BG74" s="25" t="str">
        <f t="shared" si="50"/>
        <v>진행 예정</v>
      </c>
      <c r="BH74" s="25" t="str">
        <f t="shared" si="51"/>
        <v>진행 예정</v>
      </c>
      <c r="BI74" s="25" t="str">
        <f t="shared" si="52"/>
        <v>진행 예정</v>
      </c>
      <c r="BJ74" s="14" t="str">
        <f t="shared" si="53"/>
        <v/>
      </c>
      <c r="BK74" s="7"/>
      <c r="BL74" s="7"/>
      <c r="BM74" s="7"/>
      <c r="BN74" s="7"/>
      <c r="BO74" s="7"/>
      <c r="BP74" s="7"/>
      <c r="BQ74" s="7"/>
      <c r="BR74" s="7"/>
      <c r="BS74" s="7"/>
      <c r="BT74" s="7"/>
    </row>
    <row r="75" ht="15.75" customHeight="1">
      <c r="A75" s="16" t="s">
        <v>199</v>
      </c>
      <c r="D75" s="53" t="s">
        <v>200</v>
      </c>
      <c r="E75" s="18"/>
      <c r="F75" s="23" t="s">
        <v>27</v>
      </c>
      <c r="G75" s="12">
        <v>45887.0</v>
      </c>
      <c r="H75" s="12">
        <v>45889.0</v>
      </c>
      <c r="I75" s="24"/>
      <c r="J75" s="14" t="str">
        <f t="shared" si="54"/>
        <v/>
      </c>
      <c r="K75" s="14" t="str">
        <f t="shared" si="55"/>
        <v/>
      </c>
      <c r="L75" s="14" t="str">
        <f t="shared" si="3"/>
        <v/>
      </c>
      <c r="M75" s="14" t="str">
        <f t="shared" si="4"/>
        <v/>
      </c>
      <c r="N75" s="14" t="str">
        <f t="shared" si="5"/>
        <v/>
      </c>
      <c r="O75" s="14" t="str">
        <f t="shared" si="6"/>
        <v/>
      </c>
      <c r="P75" s="14" t="str">
        <f t="shared" si="7"/>
        <v/>
      </c>
      <c r="Q75" s="14" t="str">
        <f t="shared" si="8"/>
        <v/>
      </c>
      <c r="R75" s="14" t="str">
        <f t="shared" si="9"/>
        <v/>
      </c>
      <c r="S75" s="14" t="str">
        <f t="shared" si="10"/>
        <v/>
      </c>
      <c r="T75" s="14" t="str">
        <f t="shared" si="11"/>
        <v/>
      </c>
      <c r="U75" s="14" t="str">
        <f t="shared" si="12"/>
        <v/>
      </c>
      <c r="V75" s="14" t="str">
        <f t="shared" si="13"/>
        <v/>
      </c>
      <c r="W75" s="14" t="str">
        <f t="shared" si="14"/>
        <v/>
      </c>
      <c r="X75" s="14" t="str">
        <f t="shared" si="15"/>
        <v/>
      </c>
      <c r="Y75" s="14" t="str">
        <f t="shared" si="16"/>
        <v/>
      </c>
      <c r="Z75" s="14" t="str">
        <f t="shared" si="17"/>
        <v/>
      </c>
      <c r="AA75" s="14" t="str">
        <f t="shared" si="18"/>
        <v/>
      </c>
      <c r="AB75" s="14" t="str">
        <f t="shared" si="19"/>
        <v/>
      </c>
      <c r="AC75" s="14" t="str">
        <f t="shared" si="20"/>
        <v/>
      </c>
      <c r="AD75" s="14" t="str">
        <f t="shared" si="21"/>
        <v/>
      </c>
      <c r="AE75" s="14" t="str">
        <f t="shared" si="22"/>
        <v/>
      </c>
      <c r="AF75" s="14" t="str">
        <f t="shared" si="23"/>
        <v/>
      </c>
      <c r="AG75" s="14" t="str">
        <f t="shared" si="24"/>
        <v/>
      </c>
      <c r="AH75" s="14" t="str">
        <f t="shared" si="25"/>
        <v/>
      </c>
      <c r="AI75" s="14" t="str">
        <f t="shared" si="26"/>
        <v/>
      </c>
      <c r="AJ75" s="14" t="str">
        <f t="shared" si="27"/>
        <v/>
      </c>
      <c r="AK75" s="14" t="str">
        <f t="shared" si="28"/>
        <v/>
      </c>
      <c r="AL75" s="14" t="str">
        <f t="shared" si="29"/>
        <v/>
      </c>
      <c r="AM75" s="14" t="str">
        <f t="shared" si="30"/>
        <v/>
      </c>
      <c r="AN75" s="14" t="str">
        <f t="shared" si="31"/>
        <v/>
      </c>
      <c r="AO75" s="14" t="str">
        <f t="shared" si="32"/>
        <v/>
      </c>
      <c r="AP75" s="14" t="str">
        <f t="shared" si="33"/>
        <v/>
      </c>
      <c r="AQ75" s="14" t="str">
        <f t="shared" si="34"/>
        <v/>
      </c>
      <c r="AR75" s="14" t="str">
        <f t="shared" si="35"/>
        <v/>
      </c>
      <c r="AS75" s="14" t="str">
        <f t="shared" si="36"/>
        <v/>
      </c>
      <c r="AT75" s="14" t="str">
        <f t="shared" si="37"/>
        <v/>
      </c>
      <c r="AU75" s="14" t="str">
        <f t="shared" si="38"/>
        <v/>
      </c>
      <c r="AV75" s="14" t="str">
        <f t="shared" si="39"/>
        <v/>
      </c>
      <c r="AW75" s="14" t="str">
        <f t="shared" si="40"/>
        <v/>
      </c>
      <c r="AX75" s="14" t="str">
        <f t="shared" si="41"/>
        <v/>
      </c>
      <c r="AY75" s="14" t="str">
        <f t="shared" si="42"/>
        <v/>
      </c>
      <c r="AZ75" s="14" t="str">
        <f t="shared" si="43"/>
        <v/>
      </c>
      <c r="BA75" s="14" t="str">
        <f t="shared" si="44"/>
        <v/>
      </c>
      <c r="BB75" s="14" t="str">
        <f t="shared" si="45"/>
        <v/>
      </c>
      <c r="BC75" s="14" t="str">
        <f t="shared" si="46"/>
        <v/>
      </c>
      <c r="BD75" s="14" t="str">
        <f t="shared" si="47"/>
        <v/>
      </c>
      <c r="BE75" s="14" t="str">
        <f t="shared" si="48"/>
        <v/>
      </c>
      <c r="BF75" s="14" t="str">
        <f t="shared" si="49"/>
        <v/>
      </c>
      <c r="BG75" s="25" t="str">
        <f t="shared" si="50"/>
        <v>진행 예정</v>
      </c>
      <c r="BH75" s="25" t="str">
        <f t="shared" si="51"/>
        <v>진행 예정</v>
      </c>
      <c r="BI75" s="25" t="str">
        <f t="shared" si="52"/>
        <v>진행 예정</v>
      </c>
      <c r="BJ75" s="14" t="str">
        <f t="shared" si="53"/>
        <v/>
      </c>
      <c r="BK75" s="7"/>
      <c r="BL75" s="7"/>
      <c r="BM75" s="7"/>
      <c r="BN75" s="7"/>
      <c r="BO75" s="7"/>
      <c r="BP75" s="7"/>
      <c r="BQ75" s="7"/>
      <c r="BR75" s="7"/>
      <c r="BS75" s="7"/>
      <c r="BT75" s="7"/>
    </row>
    <row r="76" ht="15.75" customHeight="1">
      <c r="A76" s="16" t="s">
        <v>201</v>
      </c>
      <c r="D76" s="53" t="s">
        <v>202</v>
      </c>
      <c r="E76" s="18"/>
      <c r="F76" s="23" t="s">
        <v>27</v>
      </c>
      <c r="G76" s="12">
        <v>45852.0</v>
      </c>
      <c r="H76" s="12">
        <v>45856.0</v>
      </c>
      <c r="I76" s="24"/>
      <c r="J76" s="14" t="str">
        <f t="shared" si="54"/>
        <v/>
      </c>
      <c r="K76" s="14" t="str">
        <f t="shared" si="55"/>
        <v/>
      </c>
      <c r="L76" s="14" t="str">
        <f t="shared" si="3"/>
        <v/>
      </c>
      <c r="M76" s="14" t="str">
        <f t="shared" si="4"/>
        <v/>
      </c>
      <c r="N76" s="14" t="str">
        <f t="shared" si="5"/>
        <v/>
      </c>
      <c r="O76" s="14" t="str">
        <f t="shared" si="6"/>
        <v/>
      </c>
      <c r="P76" s="14" t="str">
        <f t="shared" si="7"/>
        <v/>
      </c>
      <c r="Q76" s="14" t="str">
        <f t="shared" si="8"/>
        <v/>
      </c>
      <c r="R76" s="14" t="str">
        <f t="shared" si="9"/>
        <v/>
      </c>
      <c r="S76" s="14" t="str">
        <f t="shared" si="10"/>
        <v/>
      </c>
      <c r="T76" s="14" t="str">
        <f t="shared" si="11"/>
        <v/>
      </c>
      <c r="U76" s="14" t="str">
        <f t="shared" si="12"/>
        <v/>
      </c>
      <c r="V76" s="14" t="str">
        <f t="shared" si="13"/>
        <v/>
      </c>
      <c r="W76" s="14" t="str">
        <f t="shared" si="14"/>
        <v/>
      </c>
      <c r="X76" s="25" t="str">
        <f t="shared" si="15"/>
        <v>진행 예정</v>
      </c>
      <c r="Y76" s="25" t="str">
        <f t="shared" si="16"/>
        <v>진행 예정</v>
      </c>
      <c r="Z76" s="25" t="str">
        <f t="shared" si="17"/>
        <v>진행 예정</v>
      </c>
      <c r="AA76" s="25" t="str">
        <f t="shared" si="18"/>
        <v>진행 예정</v>
      </c>
      <c r="AB76" s="25" t="str">
        <f t="shared" si="19"/>
        <v>진행 예정</v>
      </c>
      <c r="AC76" s="14" t="str">
        <f t="shared" si="20"/>
        <v/>
      </c>
      <c r="AD76" s="14" t="str">
        <f t="shared" si="21"/>
        <v/>
      </c>
      <c r="AE76" s="14" t="str">
        <f t="shared" si="22"/>
        <v/>
      </c>
      <c r="AF76" s="14" t="str">
        <f t="shared" si="23"/>
        <v/>
      </c>
      <c r="AG76" s="14" t="str">
        <f t="shared" si="24"/>
        <v/>
      </c>
      <c r="AH76" s="14" t="str">
        <f t="shared" si="25"/>
        <v/>
      </c>
      <c r="AI76" s="14" t="str">
        <f t="shared" si="26"/>
        <v/>
      </c>
      <c r="AJ76" s="14" t="str">
        <f t="shared" si="27"/>
        <v/>
      </c>
      <c r="AK76" s="14" t="str">
        <f t="shared" si="28"/>
        <v/>
      </c>
      <c r="AL76" s="14" t="str">
        <f t="shared" si="29"/>
        <v/>
      </c>
      <c r="AM76" s="14" t="str">
        <f t="shared" si="30"/>
        <v/>
      </c>
      <c r="AN76" s="14" t="str">
        <f t="shared" si="31"/>
        <v/>
      </c>
      <c r="AO76" s="14" t="str">
        <f t="shared" si="32"/>
        <v/>
      </c>
      <c r="AP76" s="14" t="str">
        <f t="shared" si="33"/>
        <v/>
      </c>
      <c r="AQ76" s="14" t="str">
        <f t="shared" si="34"/>
        <v/>
      </c>
      <c r="AR76" s="14" t="str">
        <f t="shared" si="35"/>
        <v/>
      </c>
      <c r="AS76" s="14" t="str">
        <f t="shared" si="36"/>
        <v/>
      </c>
      <c r="AT76" s="14" t="str">
        <f t="shared" si="37"/>
        <v/>
      </c>
      <c r="AU76" s="14" t="str">
        <f t="shared" si="38"/>
        <v/>
      </c>
      <c r="AV76" s="14" t="str">
        <f t="shared" si="39"/>
        <v/>
      </c>
      <c r="AW76" s="14" t="str">
        <f t="shared" si="40"/>
        <v/>
      </c>
      <c r="AX76" s="14" t="str">
        <f t="shared" si="41"/>
        <v/>
      </c>
      <c r="AY76" s="14" t="str">
        <f t="shared" si="42"/>
        <v/>
      </c>
      <c r="AZ76" s="14" t="str">
        <f t="shared" si="43"/>
        <v/>
      </c>
      <c r="BA76" s="14" t="str">
        <f t="shared" si="44"/>
        <v/>
      </c>
      <c r="BB76" s="14" t="str">
        <f t="shared" si="45"/>
        <v/>
      </c>
      <c r="BC76" s="14" t="str">
        <f t="shared" si="46"/>
        <v/>
      </c>
      <c r="BD76" s="14" t="str">
        <f t="shared" si="47"/>
        <v/>
      </c>
      <c r="BE76" s="14" t="str">
        <f t="shared" si="48"/>
        <v/>
      </c>
      <c r="BF76" s="14" t="str">
        <f t="shared" si="49"/>
        <v/>
      </c>
      <c r="BG76" s="14" t="str">
        <f t="shared" si="50"/>
        <v/>
      </c>
      <c r="BH76" s="14" t="str">
        <f t="shared" si="51"/>
        <v/>
      </c>
      <c r="BI76" s="14" t="str">
        <f t="shared" si="52"/>
        <v/>
      </c>
      <c r="BJ76" s="14" t="str">
        <f t="shared" si="53"/>
        <v/>
      </c>
      <c r="BK76" s="7"/>
      <c r="BL76" s="7"/>
      <c r="BM76" s="7"/>
      <c r="BN76" s="7"/>
      <c r="BO76" s="7"/>
      <c r="BP76" s="7"/>
      <c r="BQ76" s="7"/>
      <c r="BR76" s="7"/>
      <c r="BS76" s="7"/>
      <c r="BT76" s="7"/>
    </row>
    <row r="77" ht="15.75" customHeight="1">
      <c r="A77" s="16" t="s">
        <v>203</v>
      </c>
      <c r="D77" s="18" t="s">
        <v>204</v>
      </c>
      <c r="E77" s="18"/>
      <c r="F77" s="23" t="s">
        <v>27</v>
      </c>
      <c r="G77" s="12">
        <v>45859.0</v>
      </c>
      <c r="H77" s="12">
        <v>45863.0</v>
      </c>
      <c r="I77" s="24"/>
      <c r="J77" s="14" t="str">
        <f t="shared" si="54"/>
        <v/>
      </c>
      <c r="K77" s="14" t="str">
        <f t="shared" si="55"/>
        <v/>
      </c>
      <c r="L77" s="14" t="str">
        <f t="shared" si="3"/>
        <v/>
      </c>
      <c r="M77" s="14" t="str">
        <f t="shared" si="4"/>
        <v/>
      </c>
      <c r="N77" s="14" t="str">
        <f t="shared" si="5"/>
        <v/>
      </c>
      <c r="O77" s="14" t="str">
        <f t="shared" si="6"/>
        <v/>
      </c>
      <c r="P77" s="14" t="str">
        <f t="shared" si="7"/>
        <v/>
      </c>
      <c r="Q77" s="14" t="str">
        <f t="shared" si="8"/>
        <v/>
      </c>
      <c r="R77" s="14" t="str">
        <f t="shared" si="9"/>
        <v/>
      </c>
      <c r="S77" s="14" t="str">
        <f t="shared" si="10"/>
        <v/>
      </c>
      <c r="T77" s="14" t="str">
        <f t="shared" si="11"/>
        <v/>
      </c>
      <c r="U77" s="14" t="str">
        <f t="shared" si="12"/>
        <v/>
      </c>
      <c r="V77" s="14" t="str">
        <f t="shared" si="13"/>
        <v/>
      </c>
      <c r="W77" s="14" t="str">
        <f t="shared" si="14"/>
        <v/>
      </c>
      <c r="X77" s="14" t="str">
        <f t="shared" si="15"/>
        <v/>
      </c>
      <c r="Y77" s="14" t="str">
        <f t="shared" si="16"/>
        <v/>
      </c>
      <c r="Z77" s="14" t="str">
        <f t="shared" si="17"/>
        <v/>
      </c>
      <c r="AA77" s="14" t="str">
        <f t="shared" si="18"/>
        <v/>
      </c>
      <c r="AB77" s="14" t="str">
        <f t="shared" si="19"/>
        <v/>
      </c>
      <c r="AC77" s="14" t="str">
        <f t="shared" si="20"/>
        <v/>
      </c>
      <c r="AD77" s="14" t="str">
        <f t="shared" si="21"/>
        <v/>
      </c>
      <c r="AE77" s="25" t="str">
        <f t="shared" si="22"/>
        <v>진행 예정</v>
      </c>
      <c r="AF77" s="25" t="str">
        <f t="shared" si="23"/>
        <v>진행 예정</v>
      </c>
      <c r="AG77" s="25" t="str">
        <f t="shared" si="24"/>
        <v>진행 예정</v>
      </c>
      <c r="AH77" s="25" t="str">
        <f t="shared" si="25"/>
        <v>진행 예정</v>
      </c>
      <c r="AI77" s="25" t="str">
        <f t="shared" si="26"/>
        <v>진행 예정</v>
      </c>
      <c r="AJ77" s="14" t="str">
        <f t="shared" si="27"/>
        <v/>
      </c>
      <c r="AK77" s="14" t="str">
        <f t="shared" si="28"/>
        <v/>
      </c>
      <c r="AL77" s="14" t="str">
        <f t="shared" si="29"/>
        <v/>
      </c>
      <c r="AM77" s="14" t="str">
        <f t="shared" si="30"/>
        <v/>
      </c>
      <c r="AN77" s="14" t="str">
        <f t="shared" si="31"/>
        <v/>
      </c>
      <c r="AO77" s="14" t="str">
        <f t="shared" si="32"/>
        <v/>
      </c>
      <c r="AP77" s="14" t="str">
        <f t="shared" si="33"/>
        <v/>
      </c>
      <c r="AQ77" s="14" t="str">
        <f t="shared" si="34"/>
        <v/>
      </c>
      <c r="AR77" s="14" t="str">
        <f t="shared" si="35"/>
        <v/>
      </c>
      <c r="AS77" s="14" t="str">
        <f t="shared" si="36"/>
        <v/>
      </c>
      <c r="AT77" s="14" t="str">
        <f t="shared" si="37"/>
        <v/>
      </c>
      <c r="AU77" s="14" t="str">
        <f t="shared" si="38"/>
        <v/>
      </c>
      <c r="AV77" s="14" t="str">
        <f t="shared" si="39"/>
        <v/>
      </c>
      <c r="AW77" s="14" t="str">
        <f t="shared" si="40"/>
        <v/>
      </c>
      <c r="AX77" s="14" t="str">
        <f t="shared" si="41"/>
        <v/>
      </c>
      <c r="AY77" s="14" t="str">
        <f t="shared" si="42"/>
        <v/>
      </c>
      <c r="AZ77" s="14" t="str">
        <f t="shared" si="43"/>
        <v/>
      </c>
      <c r="BA77" s="14" t="str">
        <f t="shared" si="44"/>
        <v/>
      </c>
      <c r="BB77" s="14" t="str">
        <f t="shared" si="45"/>
        <v/>
      </c>
      <c r="BC77" s="14" t="str">
        <f t="shared" si="46"/>
        <v/>
      </c>
      <c r="BD77" s="14" t="str">
        <f t="shared" si="47"/>
        <v/>
      </c>
      <c r="BE77" s="14" t="str">
        <f t="shared" si="48"/>
        <v/>
      </c>
      <c r="BF77" s="14" t="str">
        <f t="shared" si="49"/>
        <v/>
      </c>
      <c r="BG77" s="14" t="str">
        <f t="shared" si="50"/>
        <v/>
      </c>
      <c r="BH77" s="14" t="str">
        <f t="shared" si="51"/>
        <v/>
      </c>
      <c r="BI77" s="14" t="str">
        <f t="shared" si="52"/>
        <v/>
      </c>
      <c r="BJ77" s="14" t="str">
        <f t="shared" si="53"/>
        <v/>
      </c>
      <c r="BK77" s="7"/>
      <c r="BL77" s="7"/>
      <c r="BM77" s="7"/>
      <c r="BN77" s="7"/>
      <c r="BO77" s="7"/>
      <c r="BP77" s="7"/>
      <c r="BQ77" s="7"/>
      <c r="BR77" s="7"/>
      <c r="BS77" s="7"/>
      <c r="BT77" s="7"/>
    </row>
    <row r="78" ht="15.75" customHeight="1">
      <c r="A78" s="16" t="s">
        <v>205</v>
      </c>
      <c r="D78" s="53" t="s">
        <v>206</v>
      </c>
      <c r="E78" s="18"/>
      <c r="F78" s="23" t="s">
        <v>27</v>
      </c>
      <c r="G78" s="12">
        <v>45838.0</v>
      </c>
      <c r="H78" s="12">
        <v>45839.0</v>
      </c>
      <c r="I78" s="24"/>
      <c r="J78" s="25" t="str">
        <f t="shared" si="54"/>
        <v>진행 예정</v>
      </c>
      <c r="K78" s="25" t="str">
        <f t="shared" si="55"/>
        <v>진행 예정</v>
      </c>
      <c r="L78" s="14" t="str">
        <f t="shared" si="3"/>
        <v/>
      </c>
      <c r="M78" s="14" t="str">
        <f t="shared" si="4"/>
        <v/>
      </c>
      <c r="N78" s="14" t="str">
        <f t="shared" si="5"/>
        <v/>
      </c>
      <c r="O78" s="14" t="str">
        <f t="shared" si="6"/>
        <v/>
      </c>
      <c r="P78" s="14" t="str">
        <f t="shared" si="7"/>
        <v/>
      </c>
      <c r="Q78" s="14" t="str">
        <f t="shared" si="8"/>
        <v/>
      </c>
      <c r="R78" s="14" t="str">
        <f t="shared" si="9"/>
        <v/>
      </c>
      <c r="S78" s="14" t="str">
        <f t="shared" si="10"/>
        <v/>
      </c>
      <c r="T78" s="14" t="str">
        <f t="shared" si="11"/>
        <v/>
      </c>
      <c r="U78" s="14" t="str">
        <f t="shared" si="12"/>
        <v/>
      </c>
      <c r="V78" s="14" t="str">
        <f t="shared" si="13"/>
        <v/>
      </c>
      <c r="W78" s="14" t="str">
        <f t="shared" si="14"/>
        <v/>
      </c>
      <c r="X78" s="14" t="str">
        <f t="shared" si="15"/>
        <v/>
      </c>
      <c r="Y78" s="14" t="str">
        <f t="shared" si="16"/>
        <v/>
      </c>
      <c r="Z78" s="14" t="str">
        <f t="shared" si="17"/>
        <v/>
      </c>
      <c r="AA78" s="14" t="str">
        <f t="shared" si="18"/>
        <v/>
      </c>
      <c r="AB78" s="14" t="str">
        <f t="shared" si="19"/>
        <v/>
      </c>
      <c r="AC78" s="14" t="str">
        <f t="shared" si="20"/>
        <v/>
      </c>
      <c r="AD78" s="14" t="str">
        <f t="shared" si="21"/>
        <v/>
      </c>
      <c r="AE78" s="14" t="str">
        <f t="shared" si="22"/>
        <v/>
      </c>
      <c r="AF78" s="14" t="str">
        <f t="shared" si="23"/>
        <v/>
      </c>
      <c r="AG78" s="14" t="str">
        <f t="shared" si="24"/>
        <v/>
      </c>
      <c r="AH78" s="14" t="str">
        <f t="shared" si="25"/>
        <v/>
      </c>
      <c r="AI78" s="14" t="str">
        <f t="shared" si="26"/>
        <v/>
      </c>
      <c r="AJ78" s="14" t="str">
        <f t="shared" si="27"/>
        <v/>
      </c>
      <c r="AK78" s="14" t="str">
        <f t="shared" si="28"/>
        <v/>
      </c>
      <c r="AL78" s="14" t="str">
        <f t="shared" si="29"/>
        <v/>
      </c>
      <c r="AM78" s="14" t="str">
        <f t="shared" si="30"/>
        <v/>
      </c>
      <c r="AN78" s="14" t="str">
        <f t="shared" si="31"/>
        <v/>
      </c>
      <c r="AO78" s="14" t="str">
        <f t="shared" si="32"/>
        <v/>
      </c>
      <c r="AP78" s="14" t="str">
        <f t="shared" si="33"/>
        <v/>
      </c>
      <c r="AQ78" s="14" t="str">
        <f t="shared" si="34"/>
        <v/>
      </c>
      <c r="AR78" s="14" t="str">
        <f t="shared" si="35"/>
        <v/>
      </c>
      <c r="AS78" s="14" t="str">
        <f t="shared" si="36"/>
        <v/>
      </c>
      <c r="AT78" s="14" t="str">
        <f t="shared" si="37"/>
        <v/>
      </c>
      <c r="AU78" s="14" t="str">
        <f t="shared" si="38"/>
        <v/>
      </c>
      <c r="AV78" s="14" t="str">
        <f t="shared" si="39"/>
        <v/>
      </c>
      <c r="AW78" s="14" t="str">
        <f t="shared" si="40"/>
        <v/>
      </c>
      <c r="AX78" s="14" t="str">
        <f t="shared" si="41"/>
        <v/>
      </c>
      <c r="AY78" s="14" t="str">
        <f t="shared" si="42"/>
        <v/>
      </c>
      <c r="AZ78" s="14" t="str">
        <f t="shared" si="43"/>
        <v/>
      </c>
      <c r="BA78" s="14" t="str">
        <f t="shared" si="44"/>
        <v/>
      </c>
      <c r="BB78" s="14" t="str">
        <f t="shared" si="45"/>
        <v/>
      </c>
      <c r="BC78" s="14" t="str">
        <f t="shared" si="46"/>
        <v/>
      </c>
      <c r="BD78" s="14" t="str">
        <f t="shared" si="47"/>
        <v/>
      </c>
      <c r="BE78" s="14" t="str">
        <f t="shared" si="48"/>
        <v/>
      </c>
      <c r="BF78" s="14" t="str">
        <f t="shared" si="49"/>
        <v/>
      </c>
      <c r="BG78" s="14" t="str">
        <f t="shared" si="50"/>
        <v/>
      </c>
      <c r="BH78" s="14" t="str">
        <f t="shared" si="51"/>
        <v/>
      </c>
      <c r="BI78" s="14" t="str">
        <f t="shared" si="52"/>
        <v/>
      </c>
      <c r="BJ78" s="14" t="str">
        <f t="shared" si="53"/>
        <v/>
      </c>
      <c r="BK78" s="7"/>
      <c r="BL78" s="7"/>
      <c r="BM78" s="7"/>
      <c r="BN78" s="7"/>
      <c r="BO78" s="7"/>
      <c r="BP78" s="7"/>
      <c r="BQ78" s="7"/>
      <c r="BR78" s="7"/>
      <c r="BS78" s="7"/>
      <c r="BT78" s="7"/>
    </row>
    <row r="79" ht="15.75" customHeight="1">
      <c r="A79" s="16" t="s">
        <v>207</v>
      </c>
      <c r="D79" s="53" t="s">
        <v>208</v>
      </c>
      <c r="E79" s="18"/>
      <c r="F79" s="23" t="s">
        <v>27</v>
      </c>
      <c r="G79" s="12">
        <v>45838.0</v>
      </c>
      <c r="H79" s="12">
        <v>45849.0</v>
      </c>
      <c r="I79" s="24"/>
      <c r="J79" s="25" t="str">
        <f t="shared" si="54"/>
        <v>진행 예정</v>
      </c>
      <c r="K79" s="25" t="str">
        <f t="shared" si="55"/>
        <v>진행 예정</v>
      </c>
      <c r="L79" s="25" t="str">
        <f t="shared" si="3"/>
        <v>진행 예정</v>
      </c>
      <c r="M79" s="25" t="str">
        <f t="shared" si="4"/>
        <v>진행 예정</v>
      </c>
      <c r="N79" s="25" t="str">
        <f t="shared" si="5"/>
        <v>진행 예정</v>
      </c>
      <c r="O79" s="25" t="str">
        <f t="shared" si="6"/>
        <v>진행 예정</v>
      </c>
      <c r="P79" s="25" t="str">
        <f t="shared" si="7"/>
        <v>진행 예정</v>
      </c>
      <c r="Q79" s="25" t="str">
        <f t="shared" si="8"/>
        <v>진행 예정</v>
      </c>
      <c r="R79" s="25" t="str">
        <f t="shared" si="9"/>
        <v>진행 예정</v>
      </c>
      <c r="S79" s="25" t="str">
        <f t="shared" si="10"/>
        <v>진행 예정</v>
      </c>
      <c r="T79" s="25" t="str">
        <f t="shared" si="11"/>
        <v>진행 예정</v>
      </c>
      <c r="U79" s="25" t="str">
        <f t="shared" si="12"/>
        <v>진행 예정</v>
      </c>
      <c r="V79" s="14" t="str">
        <f t="shared" si="13"/>
        <v/>
      </c>
      <c r="W79" s="14" t="str">
        <f t="shared" si="14"/>
        <v/>
      </c>
      <c r="X79" s="14" t="str">
        <f t="shared" si="15"/>
        <v/>
      </c>
      <c r="Y79" s="14" t="str">
        <f t="shared" si="16"/>
        <v/>
      </c>
      <c r="Z79" s="14" t="str">
        <f t="shared" si="17"/>
        <v/>
      </c>
      <c r="AA79" s="14" t="str">
        <f t="shared" si="18"/>
        <v/>
      </c>
      <c r="AB79" s="14" t="str">
        <f t="shared" si="19"/>
        <v/>
      </c>
      <c r="AC79" s="14" t="str">
        <f t="shared" si="20"/>
        <v/>
      </c>
      <c r="AD79" s="14" t="str">
        <f t="shared" si="21"/>
        <v/>
      </c>
      <c r="AE79" s="14" t="str">
        <f t="shared" si="22"/>
        <v/>
      </c>
      <c r="AF79" s="14" t="str">
        <f t="shared" si="23"/>
        <v/>
      </c>
      <c r="AG79" s="14" t="str">
        <f t="shared" si="24"/>
        <v/>
      </c>
      <c r="AH79" s="14" t="str">
        <f t="shared" si="25"/>
        <v/>
      </c>
      <c r="AI79" s="14" t="str">
        <f t="shared" si="26"/>
        <v/>
      </c>
      <c r="AJ79" s="14" t="str">
        <f t="shared" si="27"/>
        <v/>
      </c>
      <c r="AK79" s="14" t="str">
        <f t="shared" si="28"/>
        <v/>
      </c>
      <c r="AL79" s="14" t="str">
        <f t="shared" si="29"/>
        <v/>
      </c>
      <c r="AM79" s="14" t="str">
        <f t="shared" si="30"/>
        <v/>
      </c>
      <c r="AN79" s="14" t="str">
        <f t="shared" si="31"/>
        <v/>
      </c>
      <c r="AO79" s="14" t="str">
        <f t="shared" si="32"/>
        <v/>
      </c>
      <c r="AP79" s="14" t="str">
        <f t="shared" si="33"/>
        <v/>
      </c>
      <c r="AQ79" s="14" t="str">
        <f t="shared" si="34"/>
        <v/>
      </c>
      <c r="AR79" s="14" t="str">
        <f t="shared" si="35"/>
        <v/>
      </c>
      <c r="AS79" s="14" t="str">
        <f t="shared" si="36"/>
        <v/>
      </c>
      <c r="AT79" s="14" t="str">
        <f t="shared" si="37"/>
        <v/>
      </c>
      <c r="AU79" s="14" t="str">
        <f t="shared" si="38"/>
        <v/>
      </c>
      <c r="AV79" s="14" t="str">
        <f t="shared" si="39"/>
        <v/>
      </c>
      <c r="AW79" s="14" t="str">
        <f t="shared" si="40"/>
        <v/>
      </c>
      <c r="AX79" s="14" t="str">
        <f t="shared" si="41"/>
        <v/>
      </c>
      <c r="AY79" s="14" t="str">
        <f t="shared" si="42"/>
        <v/>
      </c>
      <c r="AZ79" s="14" t="str">
        <f t="shared" si="43"/>
        <v/>
      </c>
      <c r="BA79" s="14" t="str">
        <f t="shared" si="44"/>
        <v/>
      </c>
      <c r="BB79" s="14" t="str">
        <f t="shared" si="45"/>
        <v/>
      </c>
      <c r="BC79" s="14" t="str">
        <f t="shared" si="46"/>
        <v/>
      </c>
      <c r="BD79" s="14" t="str">
        <f t="shared" si="47"/>
        <v/>
      </c>
      <c r="BE79" s="14" t="str">
        <f t="shared" si="48"/>
        <v/>
      </c>
      <c r="BF79" s="14" t="str">
        <f t="shared" si="49"/>
        <v/>
      </c>
      <c r="BG79" s="14" t="str">
        <f t="shared" si="50"/>
        <v/>
      </c>
      <c r="BH79" s="14" t="str">
        <f t="shared" si="51"/>
        <v/>
      </c>
      <c r="BI79" s="14" t="str">
        <f t="shared" si="52"/>
        <v/>
      </c>
      <c r="BJ79" s="14" t="str">
        <f t="shared" si="53"/>
        <v/>
      </c>
      <c r="BK79" s="7"/>
      <c r="BL79" s="7"/>
      <c r="BM79" s="7"/>
      <c r="BN79" s="7"/>
      <c r="BO79" s="7"/>
      <c r="BP79" s="7"/>
      <c r="BQ79" s="7"/>
      <c r="BR79" s="7"/>
      <c r="BS79" s="7"/>
      <c r="BT79" s="7"/>
    </row>
    <row r="80" ht="15.75" customHeight="1">
      <c r="A80" s="16" t="s">
        <v>209</v>
      </c>
      <c r="D80" s="53" t="s">
        <v>210</v>
      </c>
      <c r="E80" s="18"/>
      <c r="F80" s="23" t="s">
        <v>27</v>
      </c>
      <c r="G80" s="12">
        <v>45859.0</v>
      </c>
      <c r="H80" s="12">
        <v>45863.0</v>
      </c>
      <c r="I80" s="24"/>
      <c r="J80" s="14" t="str">
        <f t="shared" si="54"/>
        <v/>
      </c>
      <c r="K80" s="14" t="str">
        <f t="shared" si="55"/>
        <v/>
      </c>
      <c r="L80" s="14" t="str">
        <f t="shared" si="3"/>
        <v/>
      </c>
      <c r="M80" s="14" t="str">
        <f t="shared" si="4"/>
        <v/>
      </c>
      <c r="N80" s="14" t="str">
        <f t="shared" si="5"/>
        <v/>
      </c>
      <c r="O80" s="14" t="str">
        <f t="shared" si="6"/>
        <v/>
      </c>
      <c r="P80" s="14" t="str">
        <f t="shared" si="7"/>
        <v/>
      </c>
      <c r="Q80" s="14" t="str">
        <f t="shared" si="8"/>
        <v/>
      </c>
      <c r="R80" s="14" t="str">
        <f t="shared" si="9"/>
        <v/>
      </c>
      <c r="S80" s="14" t="str">
        <f t="shared" si="10"/>
        <v/>
      </c>
      <c r="T80" s="14" t="str">
        <f t="shared" si="11"/>
        <v/>
      </c>
      <c r="U80" s="14" t="str">
        <f t="shared" si="12"/>
        <v/>
      </c>
      <c r="V80" s="14" t="str">
        <f t="shared" si="13"/>
        <v/>
      </c>
      <c r="W80" s="14" t="str">
        <f t="shared" si="14"/>
        <v/>
      </c>
      <c r="X80" s="14" t="str">
        <f t="shared" si="15"/>
        <v/>
      </c>
      <c r="Y80" s="14" t="str">
        <f t="shared" si="16"/>
        <v/>
      </c>
      <c r="Z80" s="14" t="str">
        <f t="shared" si="17"/>
        <v/>
      </c>
      <c r="AA80" s="14" t="str">
        <f t="shared" si="18"/>
        <v/>
      </c>
      <c r="AB80" s="14" t="str">
        <f t="shared" si="19"/>
        <v/>
      </c>
      <c r="AC80" s="14" t="str">
        <f t="shared" si="20"/>
        <v/>
      </c>
      <c r="AD80" s="14" t="str">
        <f t="shared" si="21"/>
        <v/>
      </c>
      <c r="AE80" s="25" t="str">
        <f t="shared" si="22"/>
        <v>진행 예정</v>
      </c>
      <c r="AF80" s="25" t="str">
        <f t="shared" si="23"/>
        <v>진행 예정</v>
      </c>
      <c r="AG80" s="25" t="str">
        <f t="shared" si="24"/>
        <v>진행 예정</v>
      </c>
      <c r="AH80" s="25" t="str">
        <f t="shared" si="25"/>
        <v>진행 예정</v>
      </c>
      <c r="AI80" s="25" t="str">
        <f t="shared" si="26"/>
        <v>진행 예정</v>
      </c>
      <c r="AJ80" s="14" t="str">
        <f t="shared" si="27"/>
        <v/>
      </c>
      <c r="AK80" s="14" t="str">
        <f t="shared" si="28"/>
        <v/>
      </c>
      <c r="AL80" s="14" t="str">
        <f t="shared" si="29"/>
        <v/>
      </c>
      <c r="AM80" s="14" t="str">
        <f t="shared" si="30"/>
        <v/>
      </c>
      <c r="AN80" s="14" t="str">
        <f t="shared" si="31"/>
        <v/>
      </c>
      <c r="AO80" s="14" t="str">
        <f t="shared" si="32"/>
        <v/>
      </c>
      <c r="AP80" s="14" t="str">
        <f t="shared" si="33"/>
        <v/>
      </c>
      <c r="AQ80" s="14" t="str">
        <f t="shared" si="34"/>
        <v/>
      </c>
      <c r="AR80" s="14" t="str">
        <f t="shared" si="35"/>
        <v/>
      </c>
      <c r="AS80" s="14" t="str">
        <f t="shared" si="36"/>
        <v/>
      </c>
      <c r="AT80" s="14" t="str">
        <f t="shared" si="37"/>
        <v/>
      </c>
      <c r="AU80" s="14" t="str">
        <f t="shared" si="38"/>
        <v/>
      </c>
      <c r="AV80" s="14" t="str">
        <f t="shared" si="39"/>
        <v/>
      </c>
      <c r="AW80" s="14" t="str">
        <f t="shared" si="40"/>
        <v/>
      </c>
      <c r="AX80" s="14" t="str">
        <f t="shared" si="41"/>
        <v/>
      </c>
      <c r="AY80" s="14" t="str">
        <f t="shared" si="42"/>
        <v/>
      </c>
      <c r="AZ80" s="14" t="str">
        <f t="shared" si="43"/>
        <v/>
      </c>
      <c r="BA80" s="14" t="str">
        <f t="shared" si="44"/>
        <v/>
      </c>
      <c r="BB80" s="14" t="str">
        <f t="shared" si="45"/>
        <v/>
      </c>
      <c r="BC80" s="14" t="str">
        <f t="shared" si="46"/>
        <v/>
      </c>
      <c r="BD80" s="14" t="str">
        <f t="shared" si="47"/>
        <v/>
      </c>
      <c r="BE80" s="14" t="str">
        <f t="shared" si="48"/>
        <v/>
      </c>
      <c r="BF80" s="14" t="str">
        <f t="shared" si="49"/>
        <v/>
      </c>
      <c r="BG80" s="14" t="str">
        <f t="shared" si="50"/>
        <v/>
      </c>
      <c r="BH80" s="14" t="str">
        <f t="shared" si="51"/>
        <v/>
      </c>
      <c r="BI80" s="14" t="str">
        <f t="shared" si="52"/>
        <v/>
      </c>
      <c r="BJ80" s="14" t="str">
        <f t="shared" si="53"/>
        <v/>
      </c>
      <c r="BK80" s="7"/>
      <c r="BL80" s="7"/>
      <c r="BM80" s="7"/>
      <c r="BN80" s="7"/>
      <c r="BO80" s="7"/>
      <c r="BP80" s="7"/>
      <c r="BQ80" s="7"/>
      <c r="BR80" s="7"/>
      <c r="BS80" s="7"/>
      <c r="BT80" s="7"/>
    </row>
    <row r="81" ht="15.75" customHeight="1">
      <c r="A81" s="16" t="s">
        <v>211</v>
      </c>
      <c r="D81" s="22" t="s">
        <v>212</v>
      </c>
      <c r="E81" s="18"/>
      <c r="F81" s="23" t="s">
        <v>27</v>
      </c>
      <c r="G81" s="12">
        <v>45845.0</v>
      </c>
      <c r="H81" s="12">
        <v>45856.0</v>
      </c>
      <c r="I81" s="24"/>
      <c r="J81" s="14" t="str">
        <f t="shared" si="54"/>
        <v/>
      </c>
      <c r="K81" s="14" t="str">
        <f t="shared" si="55"/>
        <v/>
      </c>
      <c r="L81" s="14" t="str">
        <f t="shared" si="3"/>
        <v/>
      </c>
      <c r="M81" s="14" t="str">
        <f t="shared" si="4"/>
        <v/>
      </c>
      <c r="N81" s="14" t="str">
        <f t="shared" si="5"/>
        <v/>
      </c>
      <c r="O81" s="14" t="str">
        <f t="shared" si="6"/>
        <v/>
      </c>
      <c r="P81" s="14" t="str">
        <f t="shared" si="7"/>
        <v/>
      </c>
      <c r="Q81" s="25" t="str">
        <f t="shared" si="8"/>
        <v>진행 예정</v>
      </c>
      <c r="R81" s="25" t="str">
        <f t="shared" si="9"/>
        <v>진행 예정</v>
      </c>
      <c r="S81" s="25" t="str">
        <f t="shared" si="10"/>
        <v>진행 예정</v>
      </c>
      <c r="T81" s="25" t="str">
        <f t="shared" si="11"/>
        <v>진행 예정</v>
      </c>
      <c r="U81" s="25" t="str">
        <f t="shared" si="12"/>
        <v>진행 예정</v>
      </c>
      <c r="V81" s="25" t="str">
        <f t="shared" si="13"/>
        <v>진행 예정</v>
      </c>
      <c r="W81" s="25" t="str">
        <f t="shared" si="14"/>
        <v>진행 예정</v>
      </c>
      <c r="X81" s="25" t="str">
        <f t="shared" si="15"/>
        <v>진행 예정</v>
      </c>
      <c r="Y81" s="25" t="str">
        <f t="shared" si="16"/>
        <v>진행 예정</v>
      </c>
      <c r="Z81" s="25" t="str">
        <f t="shared" si="17"/>
        <v>진행 예정</v>
      </c>
      <c r="AA81" s="25" t="str">
        <f t="shared" si="18"/>
        <v>진행 예정</v>
      </c>
      <c r="AB81" s="25" t="str">
        <f t="shared" si="19"/>
        <v>진행 예정</v>
      </c>
      <c r="AC81" s="14" t="str">
        <f t="shared" si="20"/>
        <v/>
      </c>
      <c r="AD81" s="14" t="str">
        <f t="shared" si="21"/>
        <v/>
      </c>
      <c r="AE81" s="14" t="str">
        <f t="shared" si="22"/>
        <v/>
      </c>
      <c r="AF81" s="14" t="str">
        <f t="shared" si="23"/>
        <v/>
      </c>
      <c r="AG81" s="14" t="str">
        <f t="shared" si="24"/>
        <v/>
      </c>
      <c r="AH81" s="14" t="str">
        <f t="shared" si="25"/>
        <v/>
      </c>
      <c r="AI81" s="14" t="str">
        <f t="shared" si="26"/>
        <v/>
      </c>
      <c r="AJ81" s="14" t="str">
        <f t="shared" si="27"/>
        <v/>
      </c>
      <c r="AK81" s="14" t="str">
        <f t="shared" si="28"/>
        <v/>
      </c>
      <c r="AL81" s="14" t="str">
        <f t="shared" si="29"/>
        <v/>
      </c>
      <c r="AM81" s="14" t="str">
        <f t="shared" si="30"/>
        <v/>
      </c>
      <c r="AN81" s="14" t="str">
        <f t="shared" si="31"/>
        <v/>
      </c>
      <c r="AO81" s="14" t="str">
        <f t="shared" si="32"/>
        <v/>
      </c>
      <c r="AP81" s="14" t="str">
        <f t="shared" si="33"/>
        <v/>
      </c>
      <c r="AQ81" s="14" t="str">
        <f t="shared" si="34"/>
        <v/>
      </c>
      <c r="AR81" s="14" t="str">
        <f t="shared" si="35"/>
        <v/>
      </c>
      <c r="AS81" s="14" t="str">
        <f t="shared" si="36"/>
        <v/>
      </c>
      <c r="AT81" s="14" t="str">
        <f t="shared" si="37"/>
        <v/>
      </c>
      <c r="AU81" s="14" t="str">
        <f t="shared" si="38"/>
        <v/>
      </c>
      <c r="AV81" s="14" t="str">
        <f t="shared" si="39"/>
        <v/>
      </c>
      <c r="AW81" s="14" t="str">
        <f t="shared" si="40"/>
        <v/>
      </c>
      <c r="AX81" s="14" t="str">
        <f t="shared" si="41"/>
        <v/>
      </c>
      <c r="AY81" s="14" t="str">
        <f t="shared" si="42"/>
        <v/>
      </c>
      <c r="AZ81" s="14" t="str">
        <f t="shared" si="43"/>
        <v/>
      </c>
      <c r="BA81" s="14" t="str">
        <f t="shared" si="44"/>
        <v/>
      </c>
      <c r="BB81" s="14" t="str">
        <f t="shared" si="45"/>
        <v/>
      </c>
      <c r="BC81" s="14" t="str">
        <f t="shared" si="46"/>
        <v/>
      </c>
      <c r="BD81" s="14" t="str">
        <f t="shared" si="47"/>
        <v/>
      </c>
      <c r="BE81" s="14" t="str">
        <f t="shared" si="48"/>
        <v/>
      </c>
      <c r="BF81" s="14" t="str">
        <f t="shared" si="49"/>
        <v/>
      </c>
      <c r="BG81" s="14" t="str">
        <f t="shared" si="50"/>
        <v/>
      </c>
      <c r="BH81" s="14" t="str">
        <f t="shared" si="51"/>
        <v/>
      </c>
      <c r="BI81" s="14" t="str">
        <f t="shared" si="52"/>
        <v/>
      </c>
      <c r="BJ81" s="14" t="str">
        <f t="shared" si="53"/>
        <v/>
      </c>
      <c r="BK81" s="7"/>
      <c r="BL81" s="7"/>
      <c r="BM81" s="7"/>
      <c r="BN81" s="7"/>
      <c r="BO81" s="7"/>
      <c r="BP81" s="7"/>
      <c r="BQ81" s="7"/>
      <c r="BR81" s="7"/>
      <c r="BS81" s="7"/>
      <c r="BT81" s="7"/>
    </row>
    <row r="82" ht="15.75" customHeight="1">
      <c r="A82" s="16" t="s">
        <v>213</v>
      </c>
      <c r="D82" s="22" t="s">
        <v>214</v>
      </c>
      <c r="E82" s="18"/>
      <c r="F82" s="23" t="s">
        <v>27</v>
      </c>
      <c r="G82" s="12">
        <v>45852.0</v>
      </c>
      <c r="H82" s="12">
        <v>45856.0</v>
      </c>
      <c r="I82" s="24"/>
      <c r="J82" s="14" t="str">
        <f t="shared" si="54"/>
        <v/>
      </c>
      <c r="K82" s="14" t="str">
        <f t="shared" si="55"/>
        <v/>
      </c>
      <c r="L82" s="14" t="str">
        <f t="shared" si="3"/>
        <v/>
      </c>
      <c r="M82" s="14" t="str">
        <f t="shared" si="4"/>
        <v/>
      </c>
      <c r="N82" s="14" t="str">
        <f t="shared" si="5"/>
        <v/>
      </c>
      <c r="O82" s="14" t="str">
        <f t="shared" si="6"/>
        <v/>
      </c>
      <c r="P82" s="14" t="str">
        <f t="shared" si="7"/>
        <v/>
      </c>
      <c r="Q82" s="14" t="str">
        <f t="shared" si="8"/>
        <v/>
      </c>
      <c r="R82" s="14" t="str">
        <f t="shared" si="9"/>
        <v/>
      </c>
      <c r="S82" s="14" t="str">
        <f t="shared" si="10"/>
        <v/>
      </c>
      <c r="T82" s="14" t="str">
        <f t="shared" si="11"/>
        <v/>
      </c>
      <c r="U82" s="14" t="str">
        <f t="shared" si="12"/>
        <v/>
      </c>
      <c r="V82" s="14" t="str">
        <f t="shared" si="13"/>
        <v/>
      </c>
      <c r="W82" s="14" t="str">
        <f t="shared" si="14"/>
        <v/>
      </c>
      <c r="X82" s="25" t="str">
        <f t="shared" si="15"/>
        <v>진행 예정</v>
      </c>
      <c r="Y82" s="25" t="str">
        <f t="shared" si="16"/>
        <v>진행 예정</v>
      </c>
      <c r="Z82" s="25" t="str">
        <f t="shared" si="17"/>
        <v>진행 예정</v>
      </c>
      <c r="AA82" s="25" t="str">
        <f t="shared" si="18"/>
        <v>진행 예정</v>
      </c>
      <c r="AB82" s="25" t="str">
        <f t="shared" si="19"/>
        <v>진행 예정</v>
      </c>
      <c r="AC82" s="14" t="str">
        <f t="shared" si="20"/>
        <v/>
      </c>
      <c r="AD82" s="14" t="str">
        <f t="shared" si="21"/>
        <v/>
      </c>
      <c r="AE82" s="14" t="str">
        <f t="shared" si="22"/>
        <v/>
      </c>
      <c r="AF82" s="14" t="str">
        <f t="shared" si="23"/>
        <v/>
      </c>
      <c r="AG82" s="14" t="str">
        <f t="shared" si="24"/>
        <v/>
      </c>
      <c r="AH82" s="14" t="str">
        <f t="shared" si="25"/>
        <v/>
      </c>
      <c r="AI82" s="14" t="str">
        <f t="shared" si="26"/>
        <v/>
      </c>
      <c r="AJ82" s="14" t="str">
        <f t="shared" si="27"/>
        <v/>
      </c>
      <c r="AK82" s="14" t="str">
        <f t="shared" si="28"/>
        <v/>
      </c>
      <c r="AL82" s="14" t="str">
        <f t="shared" si="29"/>
        <v/>
      </c>
      <c r="AM82" s="14" t="str">
        <f t="shared" si="30"/>
        <v/>
      </c>
      <c r="AN82" s="14" t="str">
        <f t="shared" si="31"/>
        <v/>
      </c>
      <c r="AO82" s="14" t="str">
        <f t="shared" si="32"/>
        <v/>
      </c>
      <c r="AP82" s="14" t="str">
        <f t="shared" si="33"/>
        <v/>
      </c>
      <c r="AQ82" s="14" t="str">
        <f t="shared" si="34"/>
        <v/>
      </c>
      <c r="AR82" s="14" t="str">
        <f t="shared" si="35"/>
        <v/>
      </c>
      <c r="AS82" s="14" t="str">
        <f t="shared" si="36"/>
        <v/>
      </c>
      <c r="AT82" s="14" t="str">
        <f t="shared" si="37"/>
        <v/>
      </c>
      <c r="AU82" s="14" t="str">
        <f t="shared" si="38"/>
        <v/>
      </c>
      <c r="AV82" s="14" t="str">
        <f t="shared" si="39"/>
        <v/>
      </c>
      <c r="AW82" s="14" t="str">
        <f t="shared" si="40"/>
        <v/>
      </c>
      <c r="AX82" s="14" t="str">
        <f t="shared" si="41"/>
        <v/>
      </c>
      <c r="AY82" s="14" t="str">
        <f t="shared" si="42"/>
        <v/>
      </c>
      <c r="AZ82" s="14" t="str">
        <f t="shared" si="43"/>
        <v/>
      </c>
      <c r="BA82" s="14" t="str">
        <f t="shared" si="44"/>
        <v/>
      </c>
      <c r="BB82" s="14" t="str">
        <f t="shared" si="45"/>
        <v/>
      </c>
      <c r="BC82" s="14" t="str">
        <f t="shared" si="46"/>
        <v/>
      </c>
      <c r="BD82" s="14" t="str">
        <f t="shared" si="47"/>
        <v/>
      </c>
      <c r="BE82" s="14" t="str">
        <f t="shared" si="48"/>
        <v/>
      </c>
      <c r="BF82" s="14" t="str">
        <f t="shared" si="49"/>
        <v/>
      </c>
      <c r="BG82" s="14" t="str">
        <f t="shared" si="50"/>
        <v/>
      </c>
      <c r="BH82" s="14" t="str">
        <f t="shared" si="51"/>
        <v/>
      </c>
      <c r="BI82" s="14" t="str">
        <f t="shared" si="52"/>
        <v/>
      </c>
      <c r="BJ82" s="14" t="str">
        <f t="shared" si="53"/>
        <v/>
      </c>
      <c r="BK82" s="7"/>
      <c r="BL82" s="7"/>
      <c r="BM82" s="7"/>
      <c r="BN82" s="7"/>
      <c r="BO82" s="7"/>
      <c r="BP82" s="7"/>
      <c r="BQ82" s="7"/>
      <c r="BR82" s="7"/>
      <c r="BS82" s="7"/>
      <c r="BT82" s="7"/>
    </row>
    <row r="83" ht="15.75" customHeight="1">
      <c r="A83" s="16" t="s">
        <v>215</v>
      </c>
      <c r="D83" s="22" t="s">
        <v>216</v>
      </c>
      <c r="E83" s="18"/>
      <c r="F83" s="23" t="s">
        <v>27</v>
      </c>
      <c r="G83" s="12">
        <v>45852.0</v>
      </c>
      <c r="H83" s="12">
        <v>45856.0</v>
      </c>
      <c r="I83" s="24"/>
      <c r="J83" s="14" t="str">
        <f t="shared" si="54"/>
        <v/>
      </c>
      <c r="K83" s="14" t="str">
        <f t="shared" si="55"/>
        <v/>
      </c>
      <c r="L83" s="14" t="str">
        <f t="shared" si="3"/>
        <v/>
      </c>
      <c r="M83" s="14" t="str">
        <f t="shared" si="4"/>
        <v/>
      </c>
      <c r="N83" s="14" t="str">
        <f t="shared" si="5"/>
        <v/>
      </c>
      <c r="O83" s="14" t="str">
        <f t="shared" si="6"/>
        <v/>
      </c>
      <c r="P83" s="14" t="str">
        <f t="shared" si="7"/>
        <v/>
      </c>
      <c r="Q83" s="14" t="str">
        <f t="shared" si="8"/>
        <v/>
      </c>
      <c r="R83" s="14" t="str">
        <f t="shared" si="9"/>
        <v/>
      </c>
      <c r="S83" s="14" t="str">
        <f t="shared" si="10"/>
        <v/>
      </c>
      <c r="T83" s="14" t="str">
        <f t="shared" si="11"/>
        <v/>
      </c>
      <c r="U83" s="14" t="str">
        <f t="shared" si="12"/>
        <v/>
      </c>
      <c r="V83" s="14" t="str">
        <f t="shared" si="13"/>
        <v/>
      </c>
      <c r="W83" s="14" t="str">
        <f t="shared" si="14"/>
        <v/>
      </c>
      <c r="X83" s="25" t="str">
        <f t="shared" si="15"/>
        <v>진행 예정</v>
      </c>
      <c r="Y83" s="25" t="str">
        <f t="shared" si="16"/>
        <v>진행 예정</v>
      </c>
      <c r="Z83" s="25" t="str">
        <f t="shared" si="17"/>
        <v>진행 예정</v>
      </c>
      <c r="AA83" s="25" t="str">
        <f t="shared" si="18"/>
        <v>진행 예정</v>
      </c>
      <c r="AB83" s="25" t="str">
        <f t="shared" si="19"/>
        <v>진행 예정</v>
      </c>
      <c r="AC83" s="14" t="str">
        <f t="shared" si="20"/>
        <v/>
      </c>
      <c r="AD83" s="14" t="str">
        <f t="shared" si="21"/>
        <v/>
      </c>
      <c r="AE83" s="14" t="str">
        <f t="shared" si="22"/>
        <v/>
      </c>
      <c r="AF83" s="14" t="str">
        <f t="shared" si="23"/>
        <v/>
      </c>
      <c r="AG83" s="14" t="str">
        <f t="shared" si="24"/>
        <v/>
      </c>
      <c r="AH83" s="14" t="str">
        <f t="shared" si="25"/>
        <v/>
      </c>
      <c r="AI83" s="14" t="str">
        <f t="shared" si="26"/>
        <v/>
      </c>
      <c r="AJ83" s="14" t="str">
        <f t="shared" si="27"/>
        <v/>
      </c>
      <c r="AK83" s="14" t="str">
        <f t="shared" si="28"/>
        <v/>
      </c>
      <c r="AL83" s="14" t="str">
        <f t="shared" si="29"/>
        <v/>
      </c>
      <c r="AM83" s="14" t="str">
        <f t="shared" si="30"/>
        <v/>
      </c>
      <c r="AN83" s="14" t="str">
        <f t="shared" si="31"/>
        <v/>
      </c>
      <c r="AO83" s="14" t="str">
        <f t="shared" si="32"/>
        <v/>
      </c>
      <c r="AP83" s="14" t="str">
        <f t="shared" si="33"/>
        <v/>
      </c>
      <c r="AQ83" s="14" t="str">
        <f t="shared" si="34"/>
        <v/>
      </c>
      <c r="AR83" s="14" t="str">
        <f t="shared" si="35"/>
        <v/>
      </c>
      <c r="AS83" s="14" t="str">
        <f t="shared" si="36"/>
        <v/>
      </c>
      <c r="AT83" s="14" t="str">
        <f t="shared" si="37"/>
        <v/>
      </c>
      <c r="AU83" s="14" t="str">
        <f t="shared" si="38"/>
        <v/>
      </c>
      <c r="AV83" s="14" t="str">
        <f t="shared" si="39"/>
        <v/>
      </c>
      <c r="AW83" s="14" t="str">
        <f t="shared" si="40"/>
        <v/>
      </c>
      <c r="AX83" s="14" t="str">
        <f t="shared" si="41"/>
        <v/>
      </c>
      <c r="AY83" s="14" t="str">
        <f t="shared" si="42"/>
        <v/>
      </c>
      <c r="AZ83" s="14" t="str">
        <f t="shared" si="43"/>
        <v/>
      </c>
      <c r="BA83" s="14" t="str">
        <f t="shared" si="44"/>
        <v/>
      </c>
      <c r="BB83" s="14" t="str">
        <f t="shared" si="45"/>
        <v/>
      </c>
      <c r="BC83" s="14" t="str">
        <f t="shared" si="46"/>
        <v/>
      </c>
      <c r="BD83" s="14" t="str">
        <f t="shared" si="47"/>
        <v/>
      </c>
      <c r="BE83" s="14" t="str">
        <f t="shared" si="48"/>
        <v/>
      </c>
      <c r="BF83" s="14" t="str">
        <f t="shared" si="49"/>
        <v/>
      </c>
      <c r="BG83" s="14" t="str">
        <f t="shared" si="50"/>
        <v/>
      </c>
      <c r="BH83" s="14" t="str">
        <f t="shared" si="51"/>
        <v/>
      </c>
      <c r="BI83" s="14" t="str">
        <f t="shared" si="52"/>
        <v/>
      </c>
      <c r="BJ83" s="14" t="str">
        <f t="shared" si="53"/>
        <v/>
      </c>
      <c r="BK83" s="7"/>
      <c r="BL83" s="7"/>
      <c r="BM83" s="7"/>
      <c r="BN83" s="7"/>
      <c r="BO83" s="7"/>
      <c r="BP83" s="7"/>
      <c r="BQ83" s="7"/>
      <c r="BR83" s="7"/>
      <c r="BS83" s="7"/>
      <c r="BT83" s="7"/>
    </row>
    <row r="84" ht="15.75" customHeight="1">
      <c r="A84" s="16" t="s">
        <v>217</v>
      </c>
      <c r="C84" s="37" t="s">
        <v>218</v>
      </c>
      <c r="D84" s="22" t="s">
        <v>219</v>
      </c>
      <c r="E84" s="18"/>
      <c r="F84" s="23" t="s">
        <v>27</v>
      </c>
      <c r="G84" s="12">
        <v>45887.0</v>
      </c>
      <c r="H84" s="12">
        <v>45889.0</v>
      </c>
      <c r="I84" s="24"/>
      <c r="J84" s="14" t="str">
        <f t="shared" si="54"/>
        <v/>
      </c>
      <c r="K84" s="14" t="str">
        <f t="shared" si="55"/>
        <v/>
      </c>
      <c r="L84" s="14" t="str">
        <f t="shared" si="3"/>
        <v/>
      </c>
      <c r="M84" s="14" t="str">
        <f t="shared" si="4"/>
        <v/>
      </c>
      <c r="N84" s="14" t="str">
        <f t="shared" si="5"/>
        <v/>
      </c>
      <c r="O84" s="14" t="str">
        <f t="shared" si="6"/>
        <v/>
      </c>
      <c r="P84" s="14" t="str">
        <f t="shared" si="7"/>
        <v/>
      </c>
      <c r="Q84" s="14" t="str">
        <f t="shared" si="8"/>
        <v/>
      </c>
      <c r="R84" s="14" t="str">
        <f t="shared" si="9"/>
        <v/>
      </c>
      <c r="S84" s="14" t="str">
        <f t="shared" si="10"/>
        <v/>
      </c>
      <c r="T84" s="14" t="str">
        <f t="shared" si="11"/>
        <v/>
      </c>
      <c r="U84" s="14" t="str">
        <f t="shared" si="12"/>
        <v/>
      </c>
      <c r="V84" s="14" t="str">
        <f t="shared" si="13"/>
        <v/>
      </c>
      <c r="W84" s="14" t="str">
        <f t="shared" si="14"/>
        <v/>
      </c>
      <c r="X84" s="14" t="str">
        <f t="shared" si="15"/>
        <v/>
      </c>
      <c r="Y84" s="14" t="str">
        <f t="shared" si="16"/>
        <v/>
      </c>
      <c r="Z84" s="14" t="str">
        <f t="shared" si="17"/>
        <v/>
      </c>
      <c r="AA84" s="14" t="str">
        <f t="shared" si="18"/>
        <v/>
      </c>
      <c r="AB84" s="14" t="str">
        <f t="shared" si="19"/>
        <v/>
      </c>
      <c r="AC84" s="14" t="str">
        <f t="shared" si="20"/>
        <v/>
      </c>
      <c r="AD84" s="14" t="str">
        <f t="shared" si="21"/>
        <v/>
      </c>
      <c r="AE84" s="14" t="str">
        <f t="shared" si="22"/>
        <v/>
      </c>
      <c r="AF84" s="14" t="str">
        <f t="shared" si="23"/>
        <v/>
      </c>
      <c r="AG84" s="14" t="str">
        <f t="shared" si="24"/>
        <v/>
      </c>
      <c r="AH84" s="14" t="str">
        <f t="shared" si="25"/>
        <v/>
      </c>
      <c r="AI84" s="14" t="str">
        <f t="shared" si="26"/>
        <v/>
      </c>
      <c r="AJ84" s="14" t="str">
        <f t="shared" si="27"/>
        <v/>
      </c>
      <c r="AK84" s="14" t="str">
        <f t="shared" si="28"/>
        <v/>
      </c>
      <c r="AL84" s="14" t="str">
        <f t="shared" si="29"/>
        <v/>
      </c>
      <c r="AM84" s="14" t="str">
        <f t="shared" si="30"/>
        <v/>
      </c>
      <c r="AN84" s="14" t="str">
        <f t="shared" si="31"/>
        <v/>
      </c>
      <c r="AO84" s="14" t="str">
        <f t="shared" si="32"/>
        <v/>
      </c>
      <c r="AP84" s="14" t="str">
        <f t="shared" si="33"/>
        <v/>
      </c>
      <c r="AQ84" s="14" t="str">
        <f t="shared" si="34"/>
        <v/>
      </c>
      <c r="AR84" s="14" t="str">
        <f t="shared" si="35"/>
        <v/>
      </c>
      <c r="AS84" s="14" t="str">
        <f t="shared" si="36"/>
        <v/>
      </c>
      <c r="AT84" s="14" t="str">
        <f t="shared" si="37"/>
        <v/>
      </c>
      <c r="AU84" s="14" t="str">
        <f t="shared" si="38"/>
        <v/>
      </c>
      <c r="AV84" s="14" t="str">
        <f t="shared" si="39"/>
        <v/>
      </c>
      <c r="AW84" s="14" t="str">
        <f t="shared" si="40"/>
        <v/>
      </c>
      <c r="AX84" s="14" t="str">
        <f t="shared" si="41"/>
        <v/>
      </c>
      <c r="AY84" s="14" t="str">
        <f t="shared" si="42"/>
        <v/>
      </c>
      <c r="AZ84" s="14" t="str">
        <f t="shared" si="43"/>
        <v/>
      </c>
      <c r="BA84" s="14" t="str">
        <f t="shared" si="44"/>
        <v/>
      </c>
      <c r="BB84" s="14" t="str">
        <f t="shared" si="45"/>
        <v/>
      </c>
      <c r="BC84" s="14" t="str">
        <f t="shared" si="46"/>
        <v/>
      </c>
      <c r="BD84" s="14" t="str">
        <f t="shared" si="47"/>
        <v/>
      </c>
      <c r="BE84" s="14" t="str">
        <f t="shared" si="48"/>
        <v/>
      </c>
      <c r="BF84" s="14" t="str">
        <f t="shared" si="49"/>
        <v/>
      </c>
      <c r="BG84" s="25" t="str">
        <f t="shared" si="50"/>
        <v>진행 예정</v>
      </c>
      <c r="BH84" s="25" t="str">
        <f t="shared" si="51"/>
        <v>진행 예정</v>
      </c>
      <c r="BI84" s="25" t="str">
        <f t="shared" si="52"/>
        <v>진행 예정</v>
      </c>
      <c r="BJ84" s="14" t="str">
        <f t="shared" si="53"/>
        <v/>
      </c>
      <c r="BK84" s="7"/>
      <c r="BL84" s="7"/>
      <c r="BM84" s="7"/>
      <c r="BN84" s="7"/>
      <c r="BO84" s="7"/>
      <c r="BP84" s="7"/>
      <c r="BQ84" s="7"/>
      <c r="BR84" s="7"/>
      <c r="BS84" s="7"/>
      <c r="BT84" s="7"/>
    </row>
    <row r="85" ht="15.75" customHeight="1">
      <c r="A85" s="26" t="s">
        <v>220</v>
      </c>
      <c r="B85" s="27"/>
      <c r="C85" s="27"/>
      <c r="D85" s="28" t="s">
        <v>221</v>
      </c>
      <c r="E85" s="47"/>
      <c r="F85" s="29" t="s">
        <v>27</v>
      </c>
      <c r="G85" s="12">
        <v>45887.0</v>
      </c>
      <c r="H85" s="12">
        <v>45889.0</v>
      </c>
      <c r="I85" s="30"/>
      <c r="J85" s="14" t="str">
        <f t="shared" si="54"/>
        <v/>
      </c>
      <c r="K85" s="14" t="str">
        <f t="shared" si="55"/>
        <v/>
      </c>
      <c r="L85" s="14" t="str">
        <f t="shared" si="3"/>
        <v/>
      </c>
      <c r="M85" s="14" t="str">
        <f t="shared" si="4"/>
        <v/>
      </c>
      <c r="N85" s="14" t="str">
        <f t="shared" si="5"/>
        <v/>
      </c>
      <c r="O85" s="14" t="str">
        <f t="shared" si="6"/>
        <v/>
      </c>
      <c r="P85" s="14" t="str">
        <f t="shared" si="7"/>
        <v/>
      </c>
      <c r="Q85" s="14" t="str">
        <f t="shared" si="8"/>
        <v/>
      </c>
      <c r="R85" s="14" t="str">
        <f t="shared" si="9"/>
        <v/>
      </c>
      <c r="S85" s="14" t="str">
        <f t="shared" si="10"/>
        <v/>
      </c>
      <c r="T85" s="14" t="str">
        <f t="shared" si="11"/>
        <v/>
      </c>
      <c r="U85" s="14" t="str">
        <f t="shared" si="12"/>
        <v/>
      </c>
      <c r="V85" s="14" t="str">
        <f t="shared" si="13"/>
        <v/>
      </c>
      <c r="W85" s="14" t="str">
        <f t="shared" si="14"/>
        <v/>
      </c>
      <c r="X85" s="14" t="str">
        <f t="shared" si="15"/>
        <v/>
      </c>
      <c r="Y85" s="14" t="str">
        <f t="shared" si="16"/>
        <v/>
      </c>
      <c r="Z85" s="14" t="str">
        <f t="shared" si="17"/>
        <v/>
      </c>
      <c r="AA85" s="14" t="str">
        <f t="shared" si="18"/>
        <v/>
      </c>
      <c r="AB85" s="14" t="str">
        <f t="shared" si="19"/>
        <v/>
      </c>
      <c r="AC85" s="14" t="str">
        <f t="shared" si="20"/>
        <v/>
      </c>
      <c r="AD85" s="14" t="str">
        <f t="shared" si="21"/>
        <v/>
      </c>
      <c r="AE85" s="14" t="str">
        <f t="shared" si="22"/>
        <v/>
      </c>
      <c r="AF85" s="14" t="str">
        <f t="shared" si="23"/>
        <v/>
      </c>
      <c r="AG85" s="14" t="str">
        <f t="shared" si="24"/>
        <v/>
      </c>
      <c r="AH85" s="14" t="str">
        <f t="shared" si="25"/>
        <v/>
      </c>
      <c r="AI85" s="14" t="str">
        <f t="shared" si="26"/>
        <v/>
      </c>
      <c r="AJ85" s="14" t="str">
        <f t="shared" si="27"/>
        <v/>
      </c>
      <c r="AK85" s="14" t="str">
        <f t="shared" si="28"/>
        <v/>
      </c>
      <c r="AL85" s="14" t="str">
        <f t="shared" si="29"/>
        <v/>
      </c>
      <c r="AM85" s="14" t="str">
        <f t="shared" si="30"/>
        <v/>
      </c>
      <c r="AN85" s="14" t="str">
        <f t="shared" si="31"/>
        <v/>
      </c>
      <c r="AO85" s="14" t="str">
        <f t="shared" si="32"/>
        <v/>
      </c>
      <c r="AP85" s="14" t="str">
        <f t="shared" si="33"/>
        <v/>
      </c>
      <c r="AQ85" s="14" t="str">
        <f t="shared" si="34"/>
        <v/>
      </c>
      <c r="AR85" s="14" t="str">
        <f t="shared" si="35"/>
        <v/>
      </c>
      <c r="AS85" s="14" t="str">
        <f t="shared" si="36"/>
        <v/>
      </c>
      <c r="AT85" s="14" t="str">
        <f t="shared" si="37"/>
        <v/>
      </c>
      <c r="AU85" s="14" t="str">
        <f t="shared" si="38"/>
        <v/>
      </c>
      <c r="AV85" s="14" t="str">
        <f t="shared" si="39"/>
        <v/>
      </c>
      <c r="AW85" s="14" t="str">
        <f t="shared" si="40"/>
        <v/>
      </c>
      <c r="AX85" s="14" t="str">
        <f t="shared" si="41"/>
        <v/>
      </c>
      <c r="AY85" s="14" t="str">
        <f t="shared" si="42"/>
        <v/>
      </c>
      <c r="AZ85" s="14" t="str">
        <f t="shared" si="43"/>
        <v/>
      </c>
      <c r="BA85" s="14" t="str">
        <f t="shared" si="44"/>
        <v/>
      </c>
      <c r="BB85" s="14" t="str">
        <f t="shared" si="45"/>
        <v/>
      </c>
      <c r="BC85" s="14" t="str">
        <f t="shared" si="46"/>
        <v/>
      </c>
      <c r="BD85" s="14" t="str">
        <f t="shared" si="47"/>
        <v/>
      </c>
      <c r="BE85" s="14" t="str">
        <f t="shared" si="48"/>
        <v/>
      </c>
      <c r="BF85" s="14" t="str">
        <f t="shared" si="49"/>
        <v/>
      </c>
      <c r="BG85" s="25" t="str">
        <f t="shared" si="50"/>
        <v>진행 예정</v>
      </c>
      <c r="BH85" s="25" t="str">
        <f t="shared" si="51"/>
        <v>진행 예정</v>
      </c>
      <c r="BI85" s="25" t="str">
        <f t="shared" si="52"/>
        <v>진행 예정</v>
      </c>
      <c r="BJ85" s="14" t="str">
        <f t="shared" si="53"/>
        <v/>
      </c>
      <c r="BK85" s="7"/>
      <c r="BL85" s="7"/>
      <c r="BM85" s="7"/>
      <c r="BN85" s="7"/>
      <c r="BO85" s="7"/>
      <c r="BP85" s="7"/>
      <c r="BQ85" s="7"/>
      <c r="BR85" s="7"/>
      <c r="BS85" s="7"/>
      <c r="BT85" s="7"/>
    </row>
    <row r="86" ht="15.75" customHeight="1">
      <c r="A86" s="54"/>
      <c r="C86" s="54"/>
      <c r="E86" s="54"/>
      <c r="F86" s="54"/>
      <c r="G86" s="55"/>
      <c r="H86" s="55"/>
      <c r="I86" s="54"/>
      <c r="BK86" s="7"/>
      <c r="BL86" s="7"/>
      <c r="BM86" s="7"/>
      <c r="BN86" s="7"/>
      <c r="BO86" s="7"/>
      <c r="BP86" s="7"/>
      <c r="BQ86" s="7"/>
      <c r="BR86" s="7"/>
      <c r="BS86" s="7"/>
      <c r="BT86" s="7"/>
    </row>
    <row r="87" ht="15.75" customHeight="1">
      <c r="A87" s="54"/>
      <c r="C87" s="54"/>
      <c r="D87" s="54"/>
      <c r="E87" s="54"/>
      <c r="F87" s="54"/>
      <c r="G87" s="56"/>
      <c r="H87" s="56"/>
      <c r="I87" s="54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</row>
    <row r="88" ht="15.75" customHeight="1">
      <c r="A88" s="54"/>
      <c r="E88" s="54"/>
      <c r="F88" s="54"/>
      <c r="G88" s="56"/>
      <c r="H88" s="56"/>
      <c r="I88" s="5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</row>
    <row r="89" ht="15.75" customHeight="1">
      <c r="A89" s="54"/>
      <c r="F89" s="54"/>
      <c r="G89" s="57"/>
      <c r="H89" s="57"/>
      <c r="I89" s="5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</row>
    <row r="90" ht="15.75" customHeight="1">
      <c r="A90" s="54"/>
      <c r="F90" s="54"/>
      <c r="G90" s="57"/>
      <c r="H90" s="57"/>
      <c r="I90" s="5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</row>
    <row r="91" ht="15.75" customHeight="1">
      <c r="A91" s="54"/>
      <c r="F91" s="54"/>
      <c r="G91" s="57"/>
      <c r="H91" s="57"/>
      <c r="I91" s="5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</row>
    <row r="92" ht="15.75" customHeight="1">
      <c r="A92" s="54"/>
      <c r="F92" s="54"/>
      <c r="G92" s="57"/>
      <c r="H92" s="57"/>
      <c r="I92" s="18"/>
      <c r="J92" s="23"/>
      <c r="K92" s="55"/>
      <c r="L92" s="5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</row>
    <row r="93" ht="15.75" customHeight="1">
      <c r="A93" s="54"/>
      <c r="F93" s="54"/>
      <c r="G93" s="57"/>
      <c r="H93" s="57"/>
      <c r="I93" s="18"/>
      <c r="J93" s="23"/>
      <c r="K93" s="55"/>
      <c r="L93" s="5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</row>
    <row r="94" ht="15.75" customHeight="1">
      <c r="A94" s="54"/>
      <c r="F94" s="54"/>
      <c r="G94" s="57"/>
      <c r="H94" s="57"/>
      <c r="I94" s="54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</row>
    <row r="95" ht="15.75" customHeight="1">
      <c r="A95" s="54"/>
      <c r="F95" s="54"/>
      <c r="G95" s="57"/>
      <c r="H95" s="57"/>
      <c r="I95" s="5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</row>
    <row r="96" ht="15.75" customHeight="1">
      <c r="A96" s="54"/>
      <c r="F96" s="54"/>
      <c r="G96" s="57"/>
      <c r="H96" s="57"/>
      <c r="I96" s="54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</row>
    <row r="97" ht="15.75" customHeight="1">
      <c r="A97" s="54"/>
      <c r="F97" s="54"/>
      <c r="G97" s="57"/>
      <c r="H97" s="57"/>
      <c r="I97" s="5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</row>
    <row r="98" ht="15.75" customHeight="1">
      <c r="A98" s="54"/>
      <c r="F98" s="54"/>
      <c r="G98" s="57"/>
      <c r="H98" s="57"/>
      <c r="I98" s="54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</row>
    <row r="99" ht="15.75" customHeight="1">
      <c r="A99" s="54"/>
      <c r="F99" s="54"/>
      <c r="G99" s="57"/>
      <c r="H99" s="57"/>
      <c r="I99" s="54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</row>
    <row r="100" ht="15.75" customHeight="1">
      <c r="A100" s="54"/>
      <c r="F100" s="54"/>
      <c r="G100" s="57"/>
      <c r="H100" s="57"/>
      <c r="I100" s="54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</row>
    <row r="101" ht="15.75" customHeight="1">
      <c r="A101" s="54"/>
      <c r="B101" s="54"/>
      <c r="E101" s="54"/>
      <c r="F101" s="54"/>
      <c r="G101" s="56"/>
      <c r="H101" s="56"/>
      <c r="I101" s="54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</row>
    <row r="102" ht="15.75" customHeight="1">
      <c r="A102" s="54"/>
      <c r="B102" s="54"/>
      <c r="E102" s="54"/>
      <c r="F102" s="54"/>
      <c r="G102" s="56"/>
      <c r="H102" s="56"/>
      <c r="I102" s="54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</row>
    <row r="103" ht="15.75" customHeight="1">
      <c r="A103" s="54"/>
      <c r="B103" s="54"/>
      <c r="E103" s="54"/>
      <c r="F103" s="54"/>
      <c r="G103" s="56"/>
      <c r="H103" s="56"/>
      <c r="I103" s="54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</row>
    <row r="104" ht="15.75" customHeight="1">
      <c r="A104" s="54"/>
      <c r="B104" s="54"/>
      <c r="E104" s="54"/>
      <c r="F104" s="54"/>
      <c r="G104" s="56"/>
      <c r="H104" s="56"/>
      <c r="I104" s="54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</row>
    <row r="105" ht="15.75" customHeight="1">
      <c r="A105" s="54"/>
      <c r="B105" s="54"/>
      <c r="E105" s="54"/>
      <c r="F105" s="54"/>
      <c r="G105" s="56"/>
      <c r="H105" s="56"/>
      <c r="I105" s="5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</row>
    <row r="106" ht="15.75" customHeight="1">
      <c r="A106" s="54"/>
      <c r="B106" s="54"/>
      <c r="E106" s="54"/>
      <c r="F106" s="54"/>
      <c r="G106" s="56"/>
      <c r="H106" s="56"/>
      <c r="I106" s="54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</row>
    <row r="107" ht="15.75" customHeight="1">
      <c r="A107" s="54"/>
      <c r="B107" s="54"/>
      <c r="E107" s="54"/>
      <c r="F107" s="54"/>
      <c r="G107" s="56"/>
      <c r="H107" s="56"/>
      <c r="I107" s="54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</row>
    <row r="108" ht="15.75" customHeight="1">
      <c r="A108" s="54"/>
      <c r="B108" s="54"/>
      <c r="E108" s="54"/>
      <c r="F108" s="54"/>
      <c r="G108" s="56"/>
      <c r="H108" s="56"/>
      <c r="I108" s="54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</row>
    <row r="109" ht="15.75" customHeight="1">
      <c r="A109" s="54"/>
      <c r="B109" s="54"/>
      <c r="E109" s="54"/>
      <c r="F109" s="54"/>
      <c r="G109" s="56"/>
      <c r="H109" s="56"/>
      <c r="I109" s="5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</row>
    <row r="110" ht="15.75" customHeight="1">
      <c r="A110" s="54"/>
      <c r="B110" s="54"/>
      <c r="E110" s="54"/>
      <c r="F110" s="54"/>
      <c r="G110" s="56"/>
      <c r="H110" s="56"/>
      <c r="I110" s="54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</row>
    <row r="111" ht="15.75" customHeight="1">
      <c r="A111" s="54"/>
      <c r="B111" s="54"/>
      <c r="E111" s="54"/>
      <c r="F111" s="54"/>
      <c r="G111" s="56"/>
      <c r="H111" s="56"/>
      <c r="I111" s="54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</row>
    <row r="112" ht="15.75" customHeight="1">
      <c r="A112" s="54"/>
      <c r="B112" s="54"/>
      <c r="E112" s="54"/>
      <c r="F112" s="54"/>
      <c r="G112" s="56"/>
      <c r="H112" s="56"/>
      <c r="I112" s="54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</row>
    <row r="113" ht="15.75" customHeight="1">
      <c r="A113" s="54"/>
      <c r="B113" s="54"/>
      <c r="E113" s="54"/>
      <c r="F113" s="54"/>
      <c r="G113" s="56"/>
      <c r="H113" s="56"/>
      <c r="I113" s="54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</row>
    <row r="114" ht="15.75" customHeight="1">
      <c r="A114" s="54"/>
      <c r="B114" s="54"/>
      <c r="C114" s="54"/>
      <c r="D114" s="54"/>
      <c r="E114" s="54"/>
      <c r="F114" s="54"/>
      <c r="G114" s="56"/>
      <c r="H114" s="56"/>
      <c r="I114" s="54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</row>
    <row r="115" ht="15.75" customHeight="1">
      <c r="A115" s="54"/>
      <c r="B115" s="54"/>
      <c r="C115" s="54"/>
      <c r="D115" s="54"/>
      <c r="E115" s="54"/>
      <c r="F115" s="54"/>
      <c r="G115" s="56"/>
      <c r="H115" s="56"/>
      <c r="I115" s="54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</row>
    <row r="116" ht="15.75" customHeight="1">
      <c r="A116" s="54"/>
      <c r="B116" s="54"/>
      <c r="C116" s="54"/>
      <c r="D116" s="54"/>
      <c r="E116" s="54"/>
      <c r="F116" s="54"/>
      <c r="G116" s="56"/>
      <c r="H116" s="56"/>
      <c r="I116" s="54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</row>
    <row r="117" ht="15.75" customHeight="1">
      <c r="A117" s="54"/>
      <c r="B117" s="54"/>
      <c r="C117" s="54"/>
      <c r="D117" s="54"/>
      <c r="E117" s="54"/>
      <c r="F117" s="54"/>
      <c r="G117" s="56"/>
      <c r="H117" s="56"/>
      <c r="I117" s="54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</row>
    <row r="118" ht="15.75" customHeight="1">
      <c r="A118" s="54"/>
      <c r="B118" s="54"/>
      <c r="C118" s="54"/>
      <c r="D118" s="54"/>
      <c r="E118" s="54"/>
      <c r="F118" s="54"/>
      <c r="G118" s="56"/>
      <c r="H118" s="56"/>
      <c r="I118" s="54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</row>
    <row r="119" ht="15.75" customHeight="1">
      <c r="A119" s="54"/>
      <c r="B119" s="54"/>
      <c r="C119" s="54"/>
      <c r="D119" s="54"/>
      <c r="E119" s="54"/>
      <c r="F119" s="54"/>
      <c r="G119" s="56"/>
      <c r="H119" s="56"/>
      <c r="I119" s="54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</row>
    <row r="120" ht="15.75" customHeight="1">
      <c r="A120" s="54"/>
      <c r="B120" s="54"/>
      <c r="C120" s="54"/>
      <c r="D120" s="54"/>
      <c r="E120" s="54"/>
      <c r="F120" s="54"/>
      <c r="G120" s="56"/>
      <c r="H120" s="56"/>
      <c r="I120" s="54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</row>
    <row r="121" ht="15.75" customHeight="1">
      <c r="A121" s="54"/>
      <c r="B121" s="54"/>
      <c r="C121" s="54"/>
      <c r="D121" s="54"/>
      <c r="E121" s="54"/>
      <c r="F121" s="54"/>
      <c r="G121" s="56"/>
      <c r="H121" s="56"/>
      <c r="I121" s="54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</row>
    <row r="122" ht="15.75" customHeight="1">
      <c r="A122" s="54"/>
      <c r="B122" s="54"/>
      <c r="C122" s="54"/>
      <c r="D122" s="54"/>
      <c r="E122" s="54"/>
      <c r="F122" s="54"/>
      <c r="G122" s="56"/>
      <c r="H122" s="56"/>
      <c r="I122" s="54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</row>
    <row r="123" ht="15.75" customHeight="1">
      <c r="A123" s="54"/>
      <c r="B123" s="54"/>
      <c r="C123" s="54"/>
      <c r="D123" s="54"/>
      <c r="E123" s="54"/>
      <c r="F123" s="54"/>
      <c r="G123" s="56"/>
      <c r="H123" s="56"/>
      <c r="I123" s="54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</row>
    <row r="124" ht="15.75" customHeight="1">
      <c r="A124" s="54"/>
      <c r="B124" s="54"/>
      <c r="C124" s="54"/>
      <c r="D124" s="54"/>
      <c r="E124" s="54"/>
      <c r="F124" s="54"/>
      <c r="G124" s="56"/>
      <c r="H124" s="56"/>
      <c r="I124" s="54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</row>
    <row r="125" ht="15.75" customHeight="1">
      <c r="A125" s="54"/>
      <c r="B125" s="54"/>
      <c r="C125" s="54"/>
      <c r="D125" s="54"/>
      <c r="E125" s="54"/>
      <c r="F125" s="54"/>
      <c r="G125" s="56"/>
      <c r="H125" s="56"/>
      <c r="I125" s="54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</row>
    <row r="126" ht="15.75" customHeight="1">
      <c r="A126" s="54"/>
      <c r="B126" s="54"/>
      <c r="C126" s="54"/>
      <c r="D126" s="54"/>
      <c r="E126" s="54"/>
      <c r="F126" s="54"/>
      <c r="G126" s="56"/>
      <c r="H126" s="56"/>
      <c r="I126" s="54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</row>
    <row r="127" ht="15.75" customHeight="1">
      <c r="A127" s="54"/>
      <c r="B127" s="54"/>
      <c r="C127" s="54"/>
      <c r="D127" s="54"/>
      <c r="E127" s="54"/>
      <c r="F127" s="54"/>
      <c r="G127" s="56"/>
      <c r="H127" s="56"/>
      <c r="I127" s="54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</row>
    <row r="128" ht="15.75" customHeight="1">
      <c r="A128" s="54"/>
      <c r="B128" s="54"/>
      <c r="C128" s="54"/>
      <c r="D128" s="54"/>
      <c r="E128" s="54"/>
      <c r="F128" s="54"/>
      <c r="G128" s="56"/>
      <c r="H128" s="56"/>
      <c r="I128" s="5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</row>
    <row r="129" ht="15.75" customHeight="1">
      <c r="A129" s="54"/>
      <c r="B129" s="54"/>
      <c r="C129" s="54"/>
      <c r="D129" s="54"/>
      <c r="E129" s="54"/>
      <c r="F129" s="54"/>
      <c r="G129" s="56"/>
      <c r="H129" s="56"/>
      <c r="I129" s="54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</row>
    <row r="130" ht="15.75" customHeight="1">
      <c r="A130" s="54"/>
      <c r="B130" s="54"/>
      <c r="C130" s="54"/>
      <c r="D130" s="54"/>
      <c r="E130" s="54"/>
      <c r="F130" s="54"/>
      <c r="G130" s="56"/>
      <c r="H130" s="56"/>
      <c r="I130" s="54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</row>
    <row r="131" ht="15.75" customHeight="1">
      <c r="A131" s="54"/>
      <c r="B131" s="54"/>
      <c r="C131" s="54"/>
      <c r="D131" s="54"/>
      <c r="E131" s="54"/>
      <c r="F131" s="54"/>
      <c r="G131" s="56"/>
      <c r="H131" s="56"/>
      <c r="I131" s="54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</row>
    <row r="132" ht="15.75" customHeight="1">
      <c r="A132" s="54"/>
      <c r="B132" s="54"/>
      <c r="C132" s="54"/>
      <c r="D132" s="54"/>
      <c r="E132" s="54"/>
      <c r="F132" s="54"/>
      <c r="G132" s="56"/>
      <c r="H132" s="56"/>
      <c r="I132" s="54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</row>
    <row r="133" ht="15.75" customHeight="1">
      <c r="A133" s="54"/>
      <c r="B133" s="54"/>
      <c r="C133" s="54"/>
      <c r="D133" s="54"/>
      <c r="E133" s="54"/>
      <c r="F133" s="54"/>
      <c r="G133" s="56"/>
      <c r="H133" s="56"/>
      <c r="I133" s="54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</row>
    <row r="134" ht="15.75" customHeight="1">
      <c r="A134" s="54"/>
      <c r="B134" s="54"/>
      <c r="C134" s="54"/>
      <c r="D134" s="54"/>
      <c r="E134" s="54"/>
      <c r="F134" s="54"/>
      <c r="G134" s="56"/>
      <c r="H134" s="56"/>
      <c r="I134" s="54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</row>
    <row r="135" ht="15.75" customHeight="1">
      <c r="A135" s="54"/>
      <c r="B135" s="54"/>
      <c r="C135" s="54"/>
      <c r="D135" s="54"/>
      <c r="E135" s="54"/>
      <c r="F135" s="54"/>
      <c r="G135" s="56"/>
      <c r="H135" s="56"/>
      <c r="I135" s="54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</row>
    <row r="136" ht="15.75" customHeight="1">
      <c r="A136" s="54"/>
      <c r="B136" s="54"/>
      <c r="C136" s="54"/>
      <c r="D136" s="54"/>
      <c r="E136" s="54"/>
      <c r="F136" s="54"/>
      <c r="G136" s="56"/>
      <c r="H136" s="56"/>
      <c r="I136" s="54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</row>
    <row r="137" ht="15.75" customHeight="1">
      <c r="A137" s="54"/>
      <c r="B137" s="54"/>
      <c r="C137" s="54"/>
      <c r="D137" s="54"/>
      <c r="E137" s="54"/>
      <c r="F137" s="54"/>
      <c r="G137" s="56"/>
      <c r="H137" s="56"/>
      <c r="I137" s="54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</row>
    <row r="138" ht="15.75" customHeight="1">
      <c r="A138" s="54"/>
      <c r="B138" s="54"/>
      <c r="C138" s="54"/>
      <c r="D138" s="54"/>
      <c r="E138" s="54"/>
      <c r="F138" s="54"/>
      <c r="G138" s="56"/>
      <c r="H138" s="56"/>
      <c r="I138" s="54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</row>
    <row r="139" ht="15.75" customHeight="1">
      <c r="A139" s="54"/>
      <c r="B139" s="54"/>
      <c r="C139" s="54"/>
      <c r="D139" s="54"/>
      <c r="E139" s="54"/>
      <c r="F139" s="54"/>
      <c r="G139" s="56"/>
      <c r="H139" s="56"/>
      <c r="I139" s="54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</row>
    <row r="140" ht="15.75" customHeight="1">
      <c r="A140" s="54"/>
      <c r="B140" s="54"/>
      <c r="C140" s="54"/>
      <c r="D140" s="54"/>
      <c r="E140" s="54"/>
      <c r="F140" s="54"/>
      <c r="G140" s="56"/>
      <c r="H140" s="56"/>
      <c r="I140" s="54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</row>
    <row r="141" ht="15.75" customHeight="1">
      <c r="A141" s="54"/>
      <c r="B141" s="54"/>
      <c r="C141" s="54"/>
      <c r="D141" s="54"/>
      <c r="E141" s="54"/>
      <c r="F141" s="54"/>
      <c r="G141" s="56"/>
      <c r="H141" s="56"/>
      <c r="I141" s="54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</row>
    <row r="142" ht="15.75" customHeight="1">
      <c r="A142" s="54"/>
      <c r="B142" s="54"/>
      <c r="C142" s="54"/>
      <c r="D142" s="54"/>
      <c r="E142" s="54"/>
      <c r="F142" s="54"/>
      <c r="G142" s="56"/>
      <c r="H142" s="56"/>
      <c r="I142" s="54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</row>
    <row r="143" ht="15.75" customHeight="1">
      <c r="A143" s="54"/>
      <c r="B143" s="54"/>
      <c r="C143" s="54"/>
      <c r="D143" s="54"/>
      <c r="E143" s="54"/>
      <c r="F143" s="54"/>
      <c r="G143" s="56"/>
      <c r="H143" s="56"/>
      <c r="I143" s="54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</row>
    <row r="144" ht="15.75" customHeight="1">
      <c r="A144" s="54"/>
      <c r="B144" s="54"/>
      <c r="C144" s="54"/>
      <c r="D144" s="54"/>
      <c r="E144" s="54"/>
      <c r="F144" s="54"/>
      <c r="G144" s="56"/>
      <c r="H144" s="56"/>
      <c r="I144" s="54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</row>
    <row r="145" ht="15.75" customHeight="1">
      <c r="A145" s="54"/>
      <c r="B145" s="54"/>
      <c r="C145" s="54"/>
      <c r="D145" s="54"/>
      <c r="E145" s="54"/>
      <c r="F145" s="54"/>
      <c r="G145" s="56"/>
      <c r="H145" s="56"/>
      <c r="I145" s="54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</row>
    <row r="146" ht="15.75" customHeight="1">
      <c r="A146" s="54"/>
      <c r="B146" s="54"/>
      <c r="C146" s="54"/>
      <c r="D146" s="54"/>
      <c r="E146" s="54"/>
      <c r="F146" s="54"/>
      <c r="G146" s="56"/>
      <c r="H146" s="56"/>
      <c r="I146" s="54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</row>
    <row r="147" ht="15.75" customHeight="1">
      <c r="A147" s="54"/>
      <c r="B147" s="54"/>
      <c r="C147" s="54"/>
      <c r="D147" s="54"/>
      <c r="E147" s="54"/>
      <c r="F147" s="54"/>
      <c r="G147" s="56"/>
      <c r="H147" s="56"/>
      <c r="I147" s="54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</row>
    <row r="148" ht="15.75" customHeight="1">
      <c r="A148" s="54"/>
      <c r="B148" s="54"/>
      <c r="C148" s="54"/>
      <c r="D148" s="54"/>
      <c r="E148" s="54"/>
      <c r="F148" s="54"/>
      <c r="G148" s="56"/>
      <c r="H148" s="56"/>
      <c r="I148" s="54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</row>
    <row r="149" ht="15.75" customHeight="1">
      <c r="A149" s="54"/>
      <c r="B149" s="54"/>
      <c r="C149" s="54"/>
      <c r="D149" s="54"/>
      <c r="E149" s="54"/>
      <c r="F149" s="54"/>
      <c r="G149" s="56"/>
      <c r="H149" s="56"/>
      <c r="I149" s="54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</row>
    <row r="150" ht="15.75" customHeight="1">
      <c r="A150" s="54"/>
      <c r="B150" s="54"/>
      <c r="C150" s="54"/>
      <c r="D150" s="54"/>
      <c r="E150" s="54"/>
      <c r="F150" s="54"/>
      <c r="G150" s="56"/>
      <c r="H150" s="56"/>
      <c r="I150" s="54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</row>
    <row r="151" ht="15.75" customHeight="1">
      <c r="A151" s="54"/>
      <c r="B151" s="54"/>
      <c r="C151" s="54"/>
      <c r="D151" s="54"/>
      <c r="E151" s="54"/>
      <c r="F151" s="54"/>
      <c r="G151" s="56"/>
      <c r="H151" s="56"/>
      <c r="I151" s="54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</row>
    <row r="152" ht="15.75" customHeight="1">
      <c r="A152" s="54"/>
      <c r="B152" s="54"/>
      <c r="C152" s="54"/>
      <c r="D152" s="54"/>
      <c r="E152" s="54"/>
      <c r="F152" s="54"/>
      <c r="G152" s="56"/>
      <c r="H152" s="56"/>
      <c r="I152" s="54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</row>
    <row r="153" ht="15.75" customHeight="1">
      <c r="A153" s="54"/>
      <c r="B153" s="54"/>
      <c r="C153" s="54"/>
      <c r="D153" s="54"/>
      <c r="E153" s="54"/>
      <c r="F153" s="54"/>
      <c r="G153" s="56"/>
      <c r="H153" s="56"/>
      <c r="I153" s="54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</row>
    <row r="154" ht="15.75" customHeight="1">
      <c r="A154" s="54"/>
      <c r="B154" s="54"/>
      <c r="C154" s="54"/>
      <c r="D154" s="54"/>
      <c r="E154" s="54"/>
      <c r="F154" s="54"/>
      <c r="G154" s="56"/>
      <c r="H154" s="56"/>
      <c r="I154" s="54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</row>
    <row r="155" ht="15.75" customHeight="1">
      <c r="A155" s="54"/>
      <c r="B155" s="54"/>
      <c r="C155" s="54"/>
      <c r="D155" s="54"/>
      <c r="E155" s="54"/>
      <c r="F155" s="54"/>
      <c r="G155" s="56"/>
      <c r="H155" s="56"/>
      <c r="I155" s="54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</row>
    <row r="156" ht="15.75" customHeight="1">
      <c r="A156" s="54"/>
      <c r="B156" s="54"/>
      <c r="C156" s="54"/>
      <c r="D156" s="54"/>
      <c r="E156" s="54"/>
      <c r="F156" s="54"/>
      <c r="G156" s="56"/>
      <c r="H156" s="56"/>
      <c r="I156" s="54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</row>
    <row r="157" ht="15.75" customHeight="1">
      <c r="A157" s="54"/>
      <c r="B157" s="54"/>
      <c r="C157" s="54"/>
      <c r="D157" s="54"/>
      <c r="E157" s="54"/>
      <c r="F157" s="54"/>
      <c r="G157" s="56"/>
      <c r="H157" s="56"/>
      <c r="I157" s="54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</row>
    <row r="158" ht="15.75" customHeight="1">
      <c r="A158" s="54"/>
      <c r="B158" s="54"/>
      <c r="C158" s="54"/>
      <c r="D158" s="54"/>
      <c r="E158" s="54"/>
      <c r="F158" s="54"/>
      <c r="G158" s="56"/>
      <c r="H158" s="56"/>
      <c r="I158" s="54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</row>
    <row r="159" ht="15.75" customHeight="1">
      <c r="A159" s="54"/>
      <c r="B159" s="54"/>
      <c r="C159" s="54"/>
      <c r="D159" s="54"/>
      <c r="E159" s="54"/>
      <c r="F159" s="54"/>
      <c r="G159" s="56"/>
      <c r="H159" s="56"/>
      <c r="I159" s="54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</row>
    <row r="160" ht="15.75" customHeight="1">
      <c r="A160" s="54"/>
      <c r="B160" s="54"/>
      <c r="C160" s="54"/>
      <c r="D160" s="54"/>
      <c r="E160" s="54"/>
      <c r="F160" s="54"/>
      <c r="G160" s="56"/>
      <c r="H160" s="56"/>
      <c r="I160" s="54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</row>
    <row r="161" ht="15.75" customHeight="1">
      <c r="A161" s="54"/>
      <c r="B161" s="54"/>
      <c r="C161" s="54"/>
      <c r="D161" s="54"/>
      <c r="E161" s="54"/>
      <c r="F161" s="54"/>
      <c r="G161" s="56"/>
      <c r="H161" s="56"/>
      <c r="I161" s="54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</row>
    <row r="162" ht="15.75" customHeight="1">
      <c r="A162" s="54"/>
      <c r="B162" s="54"/>
      <c r="C162" s="54"/>
      <c r="D162" s="54"/>
      <c r="E162" s="54"/>
      <c r="F162" s="54"/>
      <c r="G162" s="56"/>
      <c r="H162" s="56"/>
      <c r="I162" s="54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</row>
    <row r="163" ht="15.75" customHeight="1">
      <c r="A163" s="54"/>
      <c r="B163" s="54"/>
      <c r="C163" s="54"/>
      <c r="D163" s="54"/>
      <c r="E163" s="54"/>
      <c r="F163" s="54"/>
      <c r="G163" s="56"/>
      <c r="H163" s="56"/>
      <c r="I163" s="54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</row>
    <row r="164" ht="15.75" customHeight="1">
      <c r="A164" s="54"/>
      <c r="B164" s="54"/>
      <c r="C164" s="54"/>
      <c r="D164" s="54"/>
      <c r="E164" s="54"/>
      <c r="F164" s="54"/>
      <c r="G164" s="56"/>
      <c r="H164" s="56"/>
      <c r="I164" s="54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</row>
    <row r="165" ht="15.75" customHeight="1">
      <c r="A165" s="54"/>
      <c r="B165" s="54"/>
      <c r="C165" s="54"/>
      <c r="D165" s="54"/>
      <c r="E165" s="54"/>
      <c r="F165" s="54"/>
      <c r="G165" s="56"/>
      <c r="H165" s="56"/>
      <c r="I165" s="54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</row>
    <row r="166" ht="15.75" customHeight="1">
      <c r="A166" s="54"/>
      <c r="B166" s="54"/>
      <c r="C166" s="54"/>
      <c r="D166" s="54"/>
      <c r="E166" s="54"/>
      <c r="F166" s="54"/>
      <c r="G166" s="56"/>
      <c r="H166" s="56"/>
      <c r="I166" s="54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</row>
    <row r="167" ht="15.75" customHeight="1">
      <c r="A167" s="54"/>
      <c r="B167" s="54"/>
      <c r="C167" s="54"/>
      <c r="D167" s="54"/>
      <c r="E167" s="54"/>
      <c r="F167" s="54"/>
      <c r="G167" s="56"/>
      <c r="H167" s="56"/>
      <c r="I167" s="54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</row>
    <row r="168" ht="15.75" customHeight="1">
      <c r="A168" s="54"/>
      <c r="B168" s="54"/>
      <c r="C168" s="54"/>
      <c r="D168" s="54"/>
      <c r="E168" s="54"/>
      <c r="F168" s="54"/>
      <c r="G168" s="56"/>
      <c r="H168" s="56"/>
      <c r="I168" s="54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</row>
    <row r="169" ht="15.75" customHeight="1">
      <c r="A169" s="54"/>
      <c r="B169" s="54"/>
      <c r="C169" s="54"/>
      <c r="D169" s="54"/>
      <c r="E169" s="54"/>
      <c r="F169" s="54"/>
      <c r="G169" s="56"/>
      <c r="H169" s="56"/>
      <c r="I169" s="54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</row>
    <row r="170" ht="15.75" customHeight="1">
      <c r="A170" s="54"/>
      <c r="B170" s="54"/>
      <c r="C170" s="54"/>
      <c r="D170" s="54"/>
      <c r="E170" s="54"/>
      <c r="F170" s="54"/>
      <c r="G170" s="56"/>
      <c r="H170" s="56"/>
      <c r="I170" s="54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</row>
    <row r="171" ht="15.75" customHeight="1">
      <c r="A171" s="54"/>
      <c r="B171" s="54"/>
      <c r="C171" s="54"/>
      <c r="D171" s="54"/>
      <c r="E171" s="54"/>
      <c r="F171" s="54"/>
      <c r="G171" s="56"/>
      <c r="H171" s="56"/>
      <c r="I171" s="54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</row>
    <row r="172" ht="15.75" customHeight="1">
      <c r="A172" s="54"/>
      <c r="B172" s="54"/>
      <c r="C172" s="54"/>
      <c r="D172" s="54"/>
      <c r="E172" s="54"/>
      <c r="F172" s="54"/>
      <c r="G172" s="56"/>
      <c r="H172" s="56"/>
      <c r="I172" s="54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</row>
    <row r="173" ht="15.75" customHeight="1">
      <c r="A173" s="54"/>
      <c r="B173" s="54"/>
      <c r="C173" s="54"/>
      <c r="D173" s="54"/>
      <c r="E173" s="54"/>
      <c r="F173" s="54"/>
      <c r="G173" s="56"/>
      <c r="H173" s="56"/>
      <c r="I173" s="54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</row>
    <row r="174" ht="15.75" customHeight="1">
      <c r="A174" s="54"/>
      <c r="B174" s="54"/>
      <c r="C174" s="54"/>
      <c r="D174" s="54"/>
      <c r="E174" s="54"/>
      <c r="F174" s="54"/>
      <c r="G174" s="56"/>
      <c r="H174" s="56"/>
      <c r="I174" s="54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</row>
    <row r="175" ht="15.75" customHeight="1">
      <c r="A175" s="54"/>
      <c r="B175" s="54"/>
      <c r="C175" s="54"/>
      <c r="D175" s="54"/>
      <c r="E175" s="54"/>
      <c r="F175" s="54"/>
      <c r="G175" s="56"/>
      <c r="H175" s="56"/>
      <c r="I175" s="54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</row>
    <row r="176" ht="15.75" customHeight="1">
      <c r="A176" s="54"/>
      <c r="B176" s="54"/>
      <c r="C176" s="54"/>
      <c r="D176" s="54"/>
      <c r="E176" s="54"/>
      <c r="F176" s="54"/>
      <c r="G176" s="56"/>
      <c r="H176" s="56"/>
      <c r="I176" s="54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</row>
    <row r="177" ht="15.75" customHeight="1">
      <c r="A177" s="54"/>
      <c r="B177" s="54"/>
      <c r="C177" s="54"/>
      <c r="D177" s="54"/>
      <c r="E177" s="54"/>
      <c r="F177" s="54"/>
      <c r="G177" s="56"/>
      <c r="H177" s="56"/>
      <c r="I177" s="54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</row>
    <row r="178" ht="15.75" customHeight="1">
      <c r="A178" s="54"/>
      <c r="B178" s="54"/>
      <c r="C178" s="54"/>
      <c r="D178" s="54"/>
      <c r="E178" s="54"/>
      <c r="F178" s="54"/>
      <c r="G178" s="56"/>
      <c r="H178" s="56"/>
      <c r="I178" s="54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</row>
    <row r="179" ht="15.75" customHeight="1">
      <c r="A179" s="54"/>
      <c r="B179" s="54"/>
      <c r="C179" s="54"/>
      <c r="D179" s="54"/>
      <c r="E179" s="54"/>
      <c r="F179" s="54"/>
      <c r="G179" s="56"/>
      <c r="H179" s="56"/>
      <c r="I179" s="54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</row>
    <row r="180" ht="15.75" customHeight="1">
      <c r="A180" s="54"/>
      <c r="B180" s="54"/>
      <c r="C180" s="54"/>
      <c r="D180" s="54"/>
      <c r="E180" s="54"/>
      <c r="F180" s="54"/>
      <c r="G180" s="56"/>
      <c r="H180" s="56"/>
      <c r="I180" s="54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</row>
    <row r="181" ht="15.75" customHeight="1">
      <c r="A181" s="54"/>
      <c r="B181" s="54"/>
      <c r="C181" s="54"/>
      <c r="D181" s="54"/>
      <c r="E181" s="54"/>
      <c r="F181" s="54"/>
      <c r="G181" s="56"/>
      <c r="H181" s="56"/>
      <c r="I181" s="54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</row>
    <row r="182" ht="15.75" customHeight="1">
      <c r="A182" s="54"/>
      <c r="B182" s="54"/>
      <c r="C182" s="54"/>
      <c r="D182" s="54"/>
      <c r="E182" s="54"/>
      <c r="F182" s="54"/>
      <c r="G182" s="56"/>
      <c r="H182" s="56"/>
      <c r="I182" s="54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</row>
    <row r="183" ht="15.75" customHeight="1">
      <c r="A183" s="54"/>
      <c r="B183" s="54"/>
      <c r="C183" s="54"/>
      <c r="D183" s="54"/>
      <c r="E183" s="54"/>
      <c r="F183" s="54"/>
      <c r="G183" s="56"/>
      <c r="H183" s="56"/>
      <c r="I183" s="54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</row>
    <row r="184" ht="15.75" customHeight="1">
      <c r="A184" s="54"/>
      <c r="B184" s="54"/>
      <c r="C184" s="54"/>
      <c r="D184" s="54"/>
      <c r="E184" s="54"/>
      <c r="F184" s="54"/>
      <c r="G184" s="56"/>
      <c r="H184" s="56"/>
      <c r="I184" s="54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</row>
    <row r="185" ht="15.75" customHeight="1">
      <c r="A185" s="54"/>
      <c r="B185" s="54"/>
      <c r="C185" s="54"/>
      <c r="D185" s="54"/>
      <c r="E185" s="54"/>
      <c r="F185" s="54"/>
      <c r="G185" s="56"/>
      <c r="H185" s="56"/>
      <c r="I185" s="54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</row>
    <row r="186" ht="15.75" customHeight="1">
      <c r="A186" s="54"/>
      <c r="B186" s="54"/>
      <c r="C186" s="54"/>
      <c r="D186" s="54"/>
      <c r="E186" s="54"/>
      <c r="F186" s="54"/>
      <c r="G186" s="56"/>
      <c r="H186" s="56"/>
      <c r="I186" s="54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</row>
    <row r="187" ht="15.75" customHeight="1">
      <c r="A187" s="54"/>
      <c r="B187" s="54"/>
      <c r="C187" s="54"/>
      <c r="D187" s="54"/>
      <c r="E187" s="54"/>
      <c r="F187" s="54"/>
      <c r="G187" s="56"/>
      <c r="H187" s="56"/>
      <c r="I187" s="5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</row>
    <row r="188" ht="15.75" customHeight="1">
      <c r="A188" s="54"/>
      <c r="B188" s="54"/>
      <c r="C188" s="54"/>
      <c r="D188" s="54"/>
      <c r="E188" s="54"/>
      <c r="F188" s="54"/>
      <c r="G188" s="56"/>
      <c r="H188" s="56"/>
      <c r="I188" s="5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</row>
    <row r="189" ht="15.75" customHeight="1">
      <c r="A189" s="54"/>
      <c r="B189" s="54"/>
      <c r="C189" s="54"/>
      <c r="D189" s="54"/>
      <c r="E189" s="54"/>
      <c r="F189" s="54"/>
      <c r="G189" s="56"/>
      <c r="H189" s="56"/>
      <c r="I189" s="5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</row>
    <row r="190" ht="15.75" customHeight="1">
      <c r="A190" s="54"/>
      <c r="B190" s="54"/>
      <c r="C190" s="54"/>
      <c r="D190" s="54"/>
      <c r="E190" s="54"/>
      <c r="F190" s="54"/>
      <c r="G190" s="56"/>
      <c r="H190" s="56"/>
      <c r="I190" s="5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</row>
    <row r="191" ht="15.75" customHeight="1">
      <c r="A191" s="54"/>
      <c r="B191" s="54"/>
      <c r="C191" s="54"/>
      <c r="D191" s="54"/>
      <c r="E191" s="54"/>
      <c r="F191" s="54"/>
      <c r="G191" s="56"/>
      <c r="H191" s="56"/>
      <c r="I191" s="5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</row>
    <row r="192" ht="15.75" customHeight="1">
      <c r="A192" s="54"/>
      <c r="B192" s="54"/>
      <c r="C192" s="54"/>
      <c r="D192" s="54"/>
      <c r="E192" s="54"/>
      <c r="F192" s="54"/>
      <c r="G192" s="56"/>
      <c r="H192" s="56"/>
      <c r="I192" s="5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</row>
    <row r="193" ht="15.75" customHeight="1">
      <c r="A193" s="54"/>
      <c r="B193" s="54"/>
      <c r="C193" s="54"/>
      <c r="D193" s="54"/>
      <c r="E193" s="54"/>
      <c r="F193" s="54"/>
      <c r="G193" s="56"/>
      <c r="H193" s="56"/>
      <c r="I193" s="5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</row>
    <row r="194" ht="15.75" customHeight="1">
      <c r="A194" s="54"/>
      <c r="B194" s="54"/>
      <c r="C194" s="54"/>
      <c r="D194" s="54"/>
      <c r="E194" s="54"/>
      <c r="F194" s="54"/>
      <c r="G194" s="56"/>
      <c r="H194" s="56"/>
      <c r="I194" s="5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</row>
    <row r="195" ht="15.75" customHeight="1">
      <c r="A195" s="54"/>
      <c r="B195" s="54"/>
      <c r="C195" s="54"/>
      <c r="D195" s="54"/>
      <c r="E195" s="54"/>
      <c r="F195" s="54"/>
      <c r="G195" s="56"/>
      <c r="H195" s="56"/>
      <c r="I195" s="5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</row>
    <row r="196" ht="15.75" customHeight="1">
      <c r="A196" s="54"/>
      <c r="B196" s="54"/>
      <c r="C196" s="54"/>
      <c r="D196" s="54"/>
      <c r="E196" s="54"/>
      <c r="F196" s="54"/>
      <c r="G196" s="56"/>
      <c r="H196" s="56"/>
      <c r="I196" s="5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</row>
    <row r="197" ht="15.75" customHeight="1">
      <c r="A197" s="54"/>
      <c r="B197" s="54"/>
      <c r="C197" s="54"/>
      <c r="D197" s="54"/>
      <c r="E197" s="54"/>
      <c r="F197" s="54"/>
      <c r="G197" s="56"/>
      <c r="H197" s="56"/>
      <c r="I197" s="5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</row>
    <row r="198" ht="15.75" customHeight="1">
      <c r="A198" s="54"/>
      <c r="B198" s="54"/>
      <c r="C198" s="54"/>
      <c r="D198" s="54"/>
      <c r="E198" s="54"/>
      <c r="F198" s="54"/>
      <c r="G198" s="56"/>
      <c r="H198" s="56"/>
      <c r="I198" s="5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</row>
    <row r="199" ht="15.75" customHeight="1">
      <c r="A199" s="54"/>
      <c r="B199" s="54"/>
      <c r="C199" s="54"/>
      <c r="D199" s="54"/>
      <c r="E199" s="54"/>
      <c r="F199" s="54"/>
      <c r="G199" s="56"/>
      <c r="H199" s="56"/>
      <c r="I199" s="5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</row>
    <row r="200" ht="15.75" customHeight="1">
      <c r="A200" s="54"/>
      <c r="B200" s="54"/>
      <c r="C200" s="54"/>
      <c r="D200" s="54"/>
      <c r="E200" s="54"/>
      <c r="F200" s="54"/>
      <c r="G200" s="56"/>
      <c r="H200" s="56"/>
      <c r="I200" s="5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</row>
    <row r="201" ht="15.75" customHeight="1">
      <c r="A201" s="54"/>
      <c r="B201" s="54"/>
      <c r="C201" s="54"/>
      <c r="D201" s="54"/>
      <c r="E201" s="54"/>
      <c r="F201" s="54"/>
      <c r="G201" s="56"/>
      <c r="H201" s="56"/>
      <c r="I201" s="5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</row>
    <row r="202" ht="15.75" customHeight="1">
      <c r="A202" s="54"/>
      <c r="B202" s="54"/>
      <c r="C202" s="54"/>
      <c r="D202" s="54"/>
      <c r="E202" s="54"/>
      <c r="F202" s="54"/>
      <c r="G202" s="56"/>
      <c r="H202" s="56"/>
      <c r="I202" s="5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</row>
    <row r="203" ht="15.75" customHeight="1">
      <c r="A203" s="54"/>
      <c r="B203" s="54"/>
      <c r="C203" s="54"/>
      <c r="D203" s="54"/>
      <c r="E203" s="54"/>
      <c r="F203" s="54"/>
      <c r="G203" s="56"/>
      <c r="H203" s="56"/>
      <c r="I203" s="5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</row>
    <row r="204" ht="15.75" customHeight="1">
      <c r="A204" s="54"/>
      <c r="B204" s="54"/>
      <c r="C204" s="54"/>
      <c r="D204" s="54"/>
      <c r="E204" s="54"/>
      <c r="F204" s="54"/>
      <c r="G204" s="56"/>
      <c r="H204" s="56"/>
      <c r="I204" s="5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</row>
    <row r="205" ht="15.75" customHeight="1">
      <c r="A205" s="54"/>
      <c r="B205" s="54"/>
      <c r="C205" s="54"/>
      <c r="D205" s="54"/>
      <c r="E205" s="54"/>
      <c r="F205" s="54"/>
      <c r="G205" s="56"/>
      <c r="H205" s="56"/>
      <c r="I205" s="5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</row>
    <row r="206" ht="15.75" customHeight="1">
      <c r="A206" s="54"/>
      <c r="B206" s="54"/>
      <c r="C206" s="54"/>
      <c r="D206" s="54"/>
      <c r="E206" s="54"/>
      <c r="F206" s="54"/>
      <c r="G206" s="56"/>
      <c r="H206" s="56"/>
      <c r="I206" s="5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</row>
    <row r="207" ht="15.75" customHeight="1">
      <c r="A207" s="54"/>
      <c r="B207" s="54"/>
      <c r="C207" s="54"/>
      <c r="D207" s="54"/>
      <c r="E207" s="54"/>
      <c r="F207" s="54"/>
      <c r="G207" s="56"/>
      <c r="H207" s="56"/>
      <c r="I207" s="5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</row>
    <row r="208" ht="15.75" customHeight="1">
      <c r="A208" s="54"/>
      <c r="B208" s="54"/>
      <c r="C208" s="54"/>
      <c r="D208" s="54"/>
      <c r="E208" s="54"/>
      <c r="F208" s="54"/>
      <c r="G208" s="56"/>
      <c r="H208" s="56"/>
      <c r="I208" s="5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</row>
    <row r="209" ht="15.75" customHeight="1">
      <c r="A209" s="54"/>
      <c r="B209" s="54"/>
      <c r="C209" s="54"/>
      <c r="D209" s="54"/>
      <c r="E209" s="54"/>
      <c r="F209" s="54"/>
      <c r="G209" s="56"/>
      <c r="H209" s="56"/>
      <c r="I209" s="5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</row>
    <row r="210" ht="15.75" customHeight="1">
      <c r="A210" s="54"/>
      <c r="B210" s="54"/>
      <c r="C210" s="54"/>
      <c r="D210" s="54"/>
      <c r="E210" s="54"/>
      <c r="F210" s="54"/>
      <c r="G210" s="56"/>
      <c r="H210" s="56"/>
      <c r="I210" s="5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</row>
    <row r="211" ht="15.75" customHeight="1">
      <c r="A211" s="54"/>
      <c r="B211" s="54"/>
      <c r="C211" s="54"/>
      <c r="D211" s="54"/>
      <c r="E211" s="54"/>
      <c r="F211" s="54"/>
      <c r="G211" s="56"/>
      <c r="H211" s="56"/>
      <c r="I211" s="5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</row>
    <row r="212" ht="15.75" customHeight="1">
      <c r="A212" s="54"/>
      <c r="B212" s="54"/>
      <c r="C212" s="54"/>
      <c r="D212" s="54"/>
      <c r="E212" s="54"/>
      <c r="F212" s="54"/>
      <c r="G212" s="56"/>
      <c r="H212" s="56"/>
      <c r="I212" s="5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</row>
    <row r="213" ht="15.75" customHeight="1">
      <c r="A213" s="54"/>
      <c r="B213" s="54"/>
      <c r="C213" s="54"/>
      <c r="D213" s="54"/>
      <c r="E213" s="54"/>
      <c r="F213" s="54"/>
      <c r="G213" s="56"/>
      <c r="H213" s="56"/>
      <c r="I213" s="5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</row>
    <row r="214" ht="15.75" customHeight="1">
      <c r="A214" s="54"/>
      <c r="B214" s="54"/>
      <c r="C214" s="54"/>
      <c r="D214" s="54"/>
      <c r="E214" s="54"/>
      <c r="F214" s="54"/>
      <c r="G214" s="56"/>
      <c r="H214" s="56"/>
      <c r="I214" s="5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</row>
    <row r="215" ht="15.75" customHeight="1">
      <c r="A215" s="54"/>
      <c r="B215" s="54"/>
      <c r="C215" s="54"/>
      <c r="D215" s="54"/>
      <c r="E215" s="54"/>
      <c r="F215" s="54"/>
      <c r="G215" s="56"/>
      <c r="H215" s="56"/>
      <c r="I215" s="5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</row>
    <row r="216" ht="15.75" customHeight="1">
      <c r="A216" s="54"/>
      <c r="B216" s="54"/>
      <c r="C216" s="54"/>
      <c r="D216" s="54"/>
      <c r="E216" s="54"/>
      <c r="F216" s="54"/>
      <c r="G216" s="56"/>
      <c r="H216" s="56"/>
      <c r="I216" s="5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</row>
    <row r="217" ht="15.75" customHeight="1">
      <c r="A217" s="54"/>
      <c r="B217" s="54"/>
      <c r="C217" s="54"/>
      <c r="D217" s="54"/>
      <c r="E217" s="54"/>
      <c r="F217" s="54"/>
      <c r="G217" s="56"/>
      <c r="H217" s="56"/>
      <c r="I217" s="5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</row>
    <row r="218" ht="15.75" customHeight="1">
      <c r="A218" s="54"/>
      <c r="B218" s="54"/>
      <c r="C218" s="54"/>
      <c r="D218" s="54"/>
      <c r="E218" s="54"/>
      <c r="F218" s="54"/>
      <c r="G218" s="56"/>
      <c r="H218" s="56"/>
      <c r="I218" s="5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</row>
    <row r="219" ht="15.75" customHeight="1">
      <c r="A219" s="54"/>
      <c r="B219" s="54"/>
      <c r="C219" s="54"/>
      <c r="D219" s="54"/>
      <c r="E219" s="54"/>
      <c r="F219" s="54"/>
      <c r="G219" s="56"/>
      <c r="H219" s="56"/>
      <c r="I219" s="5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</row>
    <row r="220" ht="15.75" customHeight="1">
      <c r="A220" s="54"/>
      <c r="B220" s="54"/>
      <c r="C220" s="54"/>
      <c r="D220" s="54"/>
      <c r="E220" s="54"/>
      <c r="F220" s="54"/>
      <c r="G220" s="56"/>
      <c r="H220" s="56"/>
      <c r="I220" s="5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</row>
    <row r="221" ht="15.75" customHeight="1">
      <c r="A221" s="54"/>
      <c r="B221" s="54"/>
      <c r="C221" s="54"/>
      <c r="D221" s="54"/>
      <c r="E221" s="54"/>
      <c r="F221" s="54"/>
      <c r="G221" s="56"/>
      <c r="H221" s="56"/>
      <c r="I221" s="5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</row>
    <row r="222" ht="15.75" customHeight="1">
      <c r="A222" s="54"/>
      <c r="B222" s="54"/>
      <c r="C222" s="54"/>
      <c r="D222" s="54"/>
      <c r="E222" s="54"/>
      <c r="F222" s="54"/>
      <c r="G222" s="56"/>
      <c r="H222" s="56"/>
      <c r="I222" s="54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</row>
    <row r="223" ht="15.75" customHeight="1">
      <c r="A223" s="54"/>
      <c r="B223" s="54"/>
      <c r="C223" s="54"/>
      <c r="D223" s="54"/>
      <c r="E223" s="54"/>
      <c r="F223" s="54"/>
      <c r="G223" s="56"/>
      <c r="H223" s="56"/>
      <c r="I223" s="5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</row>
    <row r="224" ht="15.75" customHeight="1">
      <c r="A224" s="54"/>
      <c r="B224" s="54"/>
      <c r="C224" s="54"/>
      <c r="D224" s="54"/>
      <c r="E224" s="54"/>
      <c r="F224" s="54"/>
      <c r="G224" s="56"/>
      <c r="H224" s="56"/>
      <c r="I224" s="5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</row>
    <row r="225" ht="15.75" customHeight="1">
      <c r="A225" s="54"/>
      <c r="B225" s="54"/>
      <c r="C225" s="54"/>
      <c r="D225" s="54"/>
      <c r="E225" s="54"/>
      <c r="F225" s="54"/>
      <c r="G225" s="56"/>
      <c r="H225" s="56"/>
      <c r="I225" s="5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</row>
    <row r="226" ht="15.75" customHeight="1">
      <c r="A226" s="54"/>
      <c r="B226" s="54"/>
      <c r="C226" s="54"/>
      <c r="D226" s="54"/>
      <c r="E226" s="54"/>
      <c r="F226" s="54"/>
      <c r="G226" s="56"/>
      <c r="H226" s="56"/>
      <c r="I226" s="5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</row>
    <row r="227" ht="15.75" customHeight="1">
      <c r="A227" s="54"/>
      <c r="B227" s="54"/>
      <c r="C227" s="54"/>
      <c r="D227" s="54"/>
      <c r="E227" s="54"/>
      <c r="F227" s="54"/>
      <c r="G227" s="56"/>
      <c r="H227" s="56"/>
      <c r="I227" s="5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</row>
    <row r="228" ht="15.75" customHeight="1">
      <c r="A228" s="54"/>
      <c r="B228" s="54"/>
      <c r="C228" s="54"/>
      <c r="D228" s="54"/>
      <c r="E228" s="54"/>
      <c r="F228" s="54"/>
      <c r="G228" s="56"/>
      <c r="H228" s="56"/>
      <c r="I228" s="54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</row>
    <row r="229" ht="15.75" customHeight="1">
      <c r="A229" s="54"/>
      <c r="B229" s="54"/>
      <c r="C229" s="54"/>
      <c r="D229" s="54"/>
      <c r="E229" s="54"/>
      <c r="F229" s="54"/>
      <c r="G229" s="56"/>
      <c r="H229" s="56"/>
      <c r="I229" s="5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</row>
    <row r="230" ht="15.75" customHeight="1">
      <c r="A230" s="54"/>
      <c r="B230" s="54"/>
      <c r="C230" s="54"/>
      <c r="D230" s="54"/>
      <c r="E230" s="54"/>
      <c r="F230" s="54"/>
      <c r="G230" s="56"/>
      <c r="H230" s="56"/>
      <c r="I230" s="54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</row>
    <row r="231" ht="15.75" customHeight="1">
      <c r="A231" s="54"/>
      <c r="B231" s="54"/>
      <c r="C231" s="54"/>
      <c r="D231" s="54"/>
      <c r="E231" s="54"/>
      <c r="F231" s="54"/>
      <c r="G231" s="56"/>
      <c r="H231" s="56"/>
      <c r="I231" s="5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</row>
    <row r="232" ht="15.75" customHeight="1">
      <c r="A232" s="54"/>
      <c r="B232" s="54"/>
      <c r="C232" s="54"/>
      <c r="D232" s="54"/>
      <c r="E232" s="54"/>
      <c r="F232" s="54"/>
      <c r="G232" s="56"/>
      <c r="H232" s="56"/>
      <c r="I232" s="54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</row>
    <row r="233" ht="15.75" customHeight="1">
      <c r="A233" s="54"/>
      <c r="B233" s="54"/>
      <c r="C233" s="54"/>
      <c r="D233" s="54"/>
      <c r="E233" s="54"/>
      <c r="F233" s="54"/>
      <c r="G233" s="56"/>
      <c r="H233" s="56"/>
      <c r="I233" s="5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</row>
    <row r="234" ht="15.75" customHeight="1">
      <c r="A234" s="54"/>
      <c r="B234" s="54"/>
      <c r="C234" s="54"/>
      <c r="D234" s="54"/>
      <c r="E234" s="54"/>
      <c r="F234" s="54"/>
      <c r="G234" s="56"/>
      <c r="H234" s="56"/>
      <c r="I234" s="54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</row>
    <row r="235" ht="15.75" customHeight="1">
      <c r="A235" s="54"/>
      <c r="B235" s="54"/>
      <c r="C235" s="54"/>
      <c r="D235" s="54"/>
      <c r="E235" s="54"/>
      <c r="F235" s="54"/>
      <c r="G235" s="56"/>
      <c r="H235" s="56"/>
      <c r="I235" s="5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</row>
    <row r="236" ht="15.75" customHeight="1">
      <c r="A236" s="54"/>
      <c r="B236" s="54"/>
      <c r="C236" s="54"/>
      <c r="D236" s="54"/>
      <c r="E236" s="54"/>
      <c r="F236" s="54"/>
      <c r="G236" s="56"/>
      <c r="H236" s="56"/>
      <c r="I236" s="5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</row>
    <row r="237" ht="15.75" customHeight="1">
      <c r="A237" s="54"/>
      <c r="B237" s="54"/>
      <c r="C237" s="54"/>
      <c r="D237" s="54"/>
      <c r="E237" s="54"/>
      <c r="F237" s="54"/>
      <c r="G237" s="56"/>
      <c r="H237" s="56"/>
      <c r="I237" s="5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</row>
    <row r="238" ht="15.75" customHeight="1">
      <c r="A238" s="54"/>
      <c r="B238" s="54"/>
      <c r="C238" s="54"/>
      <c r="D238" s="54"/>
      <c r="E238" s="54"/>
      <c r="F238" s="54"/>
      <c r="G238" s="56"/>
      <c r="H238" s="56"/>
      <c r="I238" s="5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</row>
    <row r="239" ht="15.75" customHeight="1">
      <c r="A239" s="54"/>
      <c r="B239" s="54"/>
      <c r="C239" s="54"/>
      <c r="D239" s="54"/>
      <c r="E239" s="54"/>
      <c r="F239" s="54"/>
      <c r="G239" s="56"/>
      <c r="H239" s="56"/>
      <c r="I239" s="5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</row>
    <row r="240" ht="15.75" customHeight="1">
      <c r="A240" s="54"/>
      <c r="B240" s="54"/>
      <c r="C240" s="54"/>
      <c r="D240" s="54"/>
      <c r="E240" s="54"/>
      <c r="F240" s="54"/>
      <c r="G240" s="56"/>
      <c r="H240" s="56"/>
      <c r="I240" s="54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</row>
    <row r="241" ht="15.75" customHeight="1">
      <c r="A241" s="54"/>
      <c r="B241" s="54"/>
      <c r="C241" s="54"/>
      <c r="D241" s="54"/>
      <c r="E241" s="54"/>
      <c r="F241" s="54"/>
      <c r="G241" s="56"/>
      <c r="H241" s="56"/>
      <c r="I241" s="5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</row>
    <row r="242" ht="15.75" customHeight="1">
      <c r="A242" s="54"/>
      <c r="B242" s="54"/>
      <c r="C242" s="54"/>
      <c r="D242" s="54"/>
      <c r="E242" s="54"/>
      <c r="F242" s="54"/>
      <c r="G242" s="56"/>
      <c r="H242" s="56"/>
      <c r="I242" s="5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</row>
    <row r="243" ht="15.75" customHeight="1">
      <c r="A243" s="54"/>
      <c r="B243" s="54"/>
      <c r="C243" s="54"/>
      <c r="D243" s="54"/>
      <c r="E243" s="54"/>
      <c r="F243" s="54"/>
      <c r="G243" s="56"/>
      <c r="H243" s="56"/>
      <c r="I243" s="5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</row>
    <row r="244" ht="15.75" customHeight="1">
      <c r="A244" s="54"/>
      <c r="B244" s="54"/>
      <c r="C244" s="54"/>
      <c r="D244" s="54"/>
      <c r="E244" s="54"/>
      <c r="F244" s="54"/>
      <c r="G244" s="56"/>
      <c r="H244" s="56"/>
      <c r="I244" s="5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</row>
    <row r="245" ht="15.75" customHeight="1">
      <c r="A245" s="54"/>
      <c r="B245" s="54"/>
      <c r="C245" s="54"/>
      <c r="D245" s="54"/>
      <c r="E245" s="54"/>
      <c r="F245" s="54"/>
      <c r="G245" s="56"/>
      <c r="H245" s="56"/>
      <c r="I245" s="5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</row>
    <row r="246" ht="15.75" customHeight="1">
      <c r="A246" s="54"/>
      <c r="B246" s="54"/>
      <c r="C246" s="54"/>
      <c r="D246" s="54"/>
      <c r="E246" s="54"/>
      <c r="F246" s="54"/>
      <c r="G246" s="56"/>
      <c r="H246" s="56"/>
      <c r="I246" s="5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</row>
    <row r="247" ht="15.75" customHeight="1">
      <c r="A247" s="54"/>
      <c r="B247" s="54"/>
      <c r="C247" s="54"/>
      <c r="D247" s="54"/>
      <c r="E247" s="54"/>
      <c r="F247" s="54"/>
      <c r="G247" s="56"/>
      <c r="H247" s="56"/>
      <c r="I247" s="5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</row>
    <row r="248" ht="15.75" customHeight="1">
      <c r="A248" s="54"/>
      <c r="B248" s="54"/>
      <c r="C248" s="54"/>
      <c r="D248" s="54"/>
      <c r="E248" s="54"/>
      <c r="F248" s="54"/>
      <c r="G248" s="56"/>
      <c r="H248" s="56"/>
      <c r="I248" s="54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</row>
    <row r="249" ht="15.75" customHeight="1">
      <c r="G249" s="58"/>
      <c r="H249" s="58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</row>
    <row r="250" ht="15.75" customHeight="1">
      <c r="G250" s="58"/>
      <c r="H250" s="58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</row>
    <row r="251" ht="15.75" customHeight="1">
      <c r="G251" s="58"/>
      <c r="H251" s="58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</row>
    <row r="252" ht="15.75" customHeight="1">
      <c r="G252" s="58"/>
      <c r="H252" s="58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</row>
    <row r="253" ht="15.75" customHeight="1">
      <c r="G253" s="58"/>
      <c r="H253" s="58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</row>
    <row r="254" ht="15.75" customHeight="1">
      <c r="G254" s="58"/>
      <c r="H254" s="58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</row>
    <row r="255" ht="15.75" customHeight="1">
      <c r="G255" s="58"/>
      <c r="H255" s="58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</row>
    <row r="256" ht="15.75" customHeight="1">
      <c r="G256" s="58"/>
      <c r="H256" s="58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</row>
    <row r="257" ht="15.75" customHeight="1">
      <c r="G257" s="58"/>
      <c r="H257" s="58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</row>
    <row r="258" ht="15.75" customHeight="1">
      <c r="G258" s="58"/>
      <c r="H258" s="58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</row>
    <row r="259" ht="15.75" customHeight="1">
      <c r="G259" s="58"/>
      <c r="H259" s="58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</row>
    <row r="260" ht="15.75" customHeight="1">
      <c r="G260" s="58"/>
      <c r="H260" s="58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</row>
    <row r="261" ht="15.75" customHeight="1">
      <c r="G261" s="58"/>
      <c r="H261" s="58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</row>
    <row r="262" ht="15.75" customHeight="1">
      <c r="G262" s="58"/>
      <c r="H262" s="58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</row>
    <row r="263" ht="15.75" customHeight="1">
      <c r="G263" s="58"/>
      <c r="H263" s="58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</row>
    <row r="264" ht="15.75" customHeight="1">
      <c r="G264" s="58"/>
      <c r="H264" s="58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</row>
    <row r="265" ht="15.75" customHeight="1">
      <c r="G265" s="58"/>
      <c r="H265" s="58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</row>
    <row r="266" ht="15.75" customHeight="1">
      <c r="G266" s="58"/>
      <c r="H266" s="58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</row>
    <row r="267" ht="15.75" customHeight="1">
      <c r="G267" s="58"/>
      <c r="H267" s="58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</row>
    <row r="268" ht="15.75" customHeight="1">
      <c r="G268" s="58"/>
      <c r="H268" s="58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</row>
    <row r="269" ht="15.75" customHeight="1">
      <c r="G269" s="58"/>
      <c r="H269" s="58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</row>
    <row r="270" ht="15.75" customHeight="1">
      <c r="G270" s="58"/>
      <c r="H270" s="58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</row>
    <row r="271" ht="15.75" customHeight="1">
      <c r="G271" s="58"/>
      <c r="H271" s="58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</row>
    <row r="272" ht="15.75" customHeight="1">
      <c r="G272" s="58"/>
      <c r="H272" s="58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</row>
    <row r="273" ht="15.75" customHeight="1">
      <c r="G273" s="58"/>
      <c r="H273" s="58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</row>
    <row r="274" ht="15.75" customHeight="1">
      <c r="G274" s="58"/>
      <c r="H274" s="58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</row>
    <row r="275" ht="15.75" customHeight="1">
      <c r="G275" s="58"/>
      <c r="H275" s="58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</row>
    <row r="276" ht="15.75" customHeight="1">
      <c r="G276" s="58"/>
      <c r="H276" s="58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</row>
    <row r="277" ht="15.75" customHeight="1">
      <c r="G277" s="58"/>
      <c r="H277" s="58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</row>
    <row r="278" ht="15.75" customHeight="1">
      <c r="G278" s="58"/>
      <c r="H278" s="58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</row>
    <row r="279" ht="15.75" customHeight="1">
      <c r="G279" s="58"/>
      <c r="H279" s="58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</row>
    <row r="280" ht="15.75" customHeight="1">
      <c r="G280" s="58"/>
      <c r="H280" s="58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</row>
    <row r="281" ht="15.75" customHeight="1">
      <c r="G281" s="58"/>
      <c r="H281" s="58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</row>
    <row r="282" ht="15.75" customHeight="1">
      <c r="G282" s="58"/>
      <c r="H282" s="58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</row>
    <row r="283" ht="15.75" customHeight="1">
      <c r="G283" s="58"/>
      <c r="H283" s="58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</row>
    <row r="284" ht="15.75" customHeight="1">
      <c r="G284" s="58"/>
      <c r="H284" s="58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</row>
    <row r="285" ht="15.75" customHeight="1">
      <c r="G285" s="58"/>
      <c r="H285" s="58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</row>
    <row r="286" ht="15.75" customHeight="1">
      <c r="G286" s="58"/>
      <c r="H286" s="58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</row>
    <row r="287" ht="15.75" customHeight="1">
      <c r="G287" s="58"/>
      <c r="H287" s="58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</row>
    <row r="288" ht="15.75" customHeight="1">
      <c r="G288" s="58"/>
      <c r="H288" s="58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</row>
    <row r="289" ht="15.75" customHeight="1">
      <c r="G289" s="58"/>
      <c r="H289" s="58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</row>
    <row r="290" ht="15.75" customHeight="1">
      <c r="G290" s="58"/>
      <c r="H290" s="58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</row>
    <row r="291" ht="15.75" customHeight="1">
      <c r="G291" s="58"/>
      <c r="H291" s="58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</row>
    <row r="292" ht="15.75" customHeight="1">
      <c r="G292" s="58"/>
      <c r="H292" s="58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</row>
    <row r="293" ht="15.75" customHeight="1">
      <c r="G293" s="58"/>
      <c r="H293" s="58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</row>
    <row r="294" ht="15.75" customHeight="1">
      <c r="G294" s="58"/>
      <c r="H294" s="58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</row>
    <row r="295" ht="15.75" customHeight="1">
      <c r="G295" s="58"/>
      <c r="H295" s="58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</row>
    <row r="296" ht="15.75" customHeight="1">
      <c r="G296" s="58"/>
      <c r="H296" s="58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</row>
    <row r="297" ht="15.75" customHeight="1">
      <c r="G297" s="58"/>
      <c r="H297" s="58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</row>
    <row r="298" ht="15.75" customHeight="1">
      <c r="G298" s="58"/>
      <c r="H298" s="58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</row>
    <row r="299" ht="15.75" customHeight="1">
      <c r="G299" s="58"/>
      <c r="H299" s="58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</row>
    <row r="300" ht="15.75" customHeight="1">
      <c r="G300" s="58"/>
      <c r="H300" s="58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</row>
    <row r="301" ht="15.75" customHeight="1">
      <c r="G301" s="58"/>
      <c r="H301" s="58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</row>
    <row r="302" ht="15.75" customHeight="1">
      <c r="G302" s="58"/>
      <c r="H302" s="58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</row>
    <row r="303" ht="15.75" customHeight="1">
      <c r="G303" s="58"/>
      <c r="H303" s="58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</row>
    <row r="304" ht="15.75" customHeight="1">
      <c r="G304" s="58"/>
      <c r="H304" s="58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</row>
    <row r="305" ht="15.75" customHeight="1">
      <c r="G305" s="58"/>
      <c r="H305" s="58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</row>
    <row r="306" ht="15.75" customHeight="1">
      <c r="G306" s="58"/>
      <c r="H306" s="58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</row>
    <row r="307" ht="15.75" customHeight="1">
      <c r="G307" s="58"/>
      <c r="H307" s="58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</row>
    <row r="308" ht="15.75" customHeight="1">
      <c r="G308" s="58"/>
      <c r="H308" s="58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</row>
    <row r="309" ht="15.75" customHeight="1">
      <c r="G309" s="58"/>
      <c r="H309" s="58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</row>
    <row r="310" ht="15.75" customHeight="1">
      <c r="G310" s="58"/>
      <c r="H310" s="58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</row>
    <row r="311" ht="15.75" customHeight="1">
      <c r="G311" s="58"/>
      <c r="H311" s="58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</row>
    <row r="312" ht="15.75" customHeight="1">
      <c r="G312" s="58"/>
      <c r="H312" s="58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</row>
    <row r="313" ht="15.75" customHeight="1">
      <c r="G313" s="58"/>
      <c r="H313" s="58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</row>
    <row r="314" ht="15.75" customHeight="1">
      <c r="G314" s="58"/>
      <c r="H314" s="58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</row>
    <row r="315" ht="15.75" customHeight="1">
      <c r="G315" s="58"/>
      <c r="H315" s="58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</row>
    <row r="316" ht="15.75" customHeight="1">
      <c r="G316" s="58"/>
      <c r="H316" s="58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</row>
    <row r="317" ht="15.75" customHeight="1">
      <c r="G317" s="58"/>
      <c r="H317" s="58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</row>
    <row r="318" ht="15.75" customHeight="1">
      <c r="G318" s="58"/>
      <c r="H318" s="58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</row>
    <row r="319" ht="15.75" customHeight="1">
      <c r="G319" s="58"/>
      <c r="H319" s="58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</row>
    <row r="320" ht="15.75" customHeight="1">
      <c r="G320" s="58"/>
      <c r="H320" s="58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</row>
    <row r="321" ht="15.75" customHeight="1">
      <c r="G321" s="58"/>
      <c r="H321" s="58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</row>
    <row r="322" ht="15.75" customHeight="1">
      <c r="G322" s="58"/>
      <c r="H322" s="58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</row>
    <row r="323" ht="15.75" customHeight="1">
      <c r="G323" s="58"/>
      <c r="H323" s="58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</row>
    <row r="324" ht="15.75" customHeight="1">
      <c r="G324" s="58"/>
      <c r="H324" s="58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</row>
    <row r="325" ht="15.75" customHeight="1">
      <c r="G325" s="58"/>
      <c r="H325" s="58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</row>
    <row r="326" ht="15.75" customHeight="1">
      <c r="G326" s="58"/>
      <c r="H326" s="58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</row>
    <row r="327" ht="15.75" customHeight="1">
      <c r="G327" s="58"/>
      <c r="H327" s="58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</row>
    <row r="328" ht="15.75" customHeight="1">
      <c r="G328" s="58"/>
      <c r="H328" s="58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</row>
    <row r="329" ht="15.75" customHeight="1">
      <c r="G329" s="58"/>
      <c r="H329" s="58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</row>
    <row r="330" ht="15.75" customHeight="1">
      <c r="G330" s="58"/>
      <c r="H330" s="58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</row>
    <row r="331" ht="15.75" customHeight="1">
      <c r="G331" s="58"/>
      <c r="H331" s="58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</row>
    <row r="332" ht="15.75" customHeight="1">
      <c r="G332" s="58"/>
      <c r="H332" s="58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</row>
    <row r="333" ht="15.75" customHeight="1">
      <c r="G333" s="58"/>
      <c r="H333" s="58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</row>
    <row r="334" ht="15.75" customHeight="1">
      <c r="G334" s="58"/>
      <c r="H334" s="58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</row>
    <row r="335" ht="15.75" customHeight="1">
      <c r="G335" s="58"/>
      <c r="H335" s="58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</row>
    <row r="336" ht="15.75" customHeight="1">
      <c r="G336" s="58"/>
      <c r="H336" s="58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</row>
    <row r="337" ht="15.75" customHeight="1">
      <c r="G337" s="58"/>
      <c r="H337" s="58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</row>
    <row r="338" ht="15.75" customHeight="1">
      <c r="G338" s="58"/>
      <c r="H338" s="58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</row>
    <row r="339" ht="15.75" customHeight="1">
      <c r="G339" s="58"/>
      <c r="H339" s="58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</row>
    <row r="340" ht="15.75" customHeight="1">
      <c r="G340" s="58"/>
      <c r="H340" s="58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</row>
    <row r="341" ht="15.75" customHeight="1">
      <c r="G341" s="58"/>
      <c r="H341" s="58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</row>
    <row r="342" ht="15.75" customHeight="1">
      <c r="G342" s="58"/>
      <c r="H342" s="58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</row>
    <row r="343" ht="15.75" customHeight="1">
      <c r="G343" s="58"/>
      <c r="H343" s="58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</row>
    <row r="344" ht="15.75" customHeight="1">
      <c r="G344" s="58"/>
      <c r="H344" s="58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</row>
    <row r="345" ht="15.75" customHeight="1">
      <c r="G345" s="58"/>
      <c r="H345" s="58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</row>
    <row r="346" ht="15.75" customHeight="1">
      <c r="G346" s="58"/>
      <c r="H346" s="58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</row>
    <row r="347" ht="15.75" customHeight="1">
      <c r="G347" s="58"/>
      <c r="H347" s="58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</row>
    <row r="348" ht="15.75" customHeight="1">
      <c r="G348" s="58"/>
      <c r="H348" s="58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</row>
    <row r="349" ht="15.75" customHeight="1">
      <c r="G349" s="58"/>
      <c r="H349" s="58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</row>
    <row r="350" ht="15.75" customHeight="1">
      <c r="G350" s="58"/>
      <c r="H350" s="58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</row>
    <row r="351" ht="15.75" customHeight="1">
      <c r="G351" s="58"/>
      <c r="H351" s="58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</row>
    <row r="352" ht="15.75" customHeight="1">
      <c r="G352" s="58"/>
      <c r="H352" s="58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</row>
    <row r="353" ht="15.75" customHeight="1">
      <c r="G353" s="58"/>
      <c r="H353" s="58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</row>
    <row r="354" ht="15.75" customHeight="1">
      <c r="G354" s="58"/>
      <c r="H354" s="58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</row>
    <row r="355" ht="15.75" customHeight="1">
      <c r="G355" s="58"/>
      <c r="H355" s="58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</row>
    <row r="356" ht="15.75" customHeight="1">
      <c r="G356" s="58"/>
      <c r="H356" s="58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</row>
    <row r="357" ht="15.75" customHeight="1">
      <c r="G357" s="58"/>
      <c r="H357" s="58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</row>
    <row r="358" ht="15.75" customHeight="1">
      <c r="G358" s="58"/>
      <c r="H358" s="58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</row>
    <row r="359" ht="15.75" customHeight="1">
      <c r="G359" s="58"/>
      <c r="H359" s="58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</row>
    <row r="360" ht="15.75" customHeight="1">
      <c r="G360" s="58"/>
      <c r="H360" s="58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</row>
    <row r="361" ht="15.75" customHeight="1">
      <c r="G361" s="58"/>
      <c r="H361" s="58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</row>
    <row r="362" ht="15.75" customHeight="1">
      <c r="G362" s="58"/>
      <c r="H362" s="58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</row>
    <row r="363" ht="15.75" customHeight="1">
      <c r="G363" s="58"/>
      <c r="H363" s="58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</row>
    <row r="364" ht="15.75" customHeight="1">
      <c r="G364" s="58"/>
      <c r="H364" s="58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</row>
    <row r="365" ht="15.75" customHeight="1">
      <c r="G365" s="58"/>
      <c r="H365" s="58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</row>
    <row r="366" ht="15.75" customHeight="1">
      <c r="G366" s="58"/>
      <c r="H366" s="58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</row>
    <row r="367" ht="15.75" customHeight="1">
      <c r="G367" s="58"/>
      <c r="H367" s="58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</row>
    <row r="368" ht="15.75" customHeight="1">
      <c r="G368" s="58"/>
      <c r="H368" s="58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</row>
    <row r="369" ht="15.75" customHeight="1">
      <c r="G369" s="58"/>
      <c r="H369" s="58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</row>
    <row r="370" ht="15.75" customHeight="1">
      <c r="G370" s="58"/>
      <c r="H370" s="58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</row>
    <row r="371" ht="15.75" customHeight="1">
      <c r="G371" s="58"/>
      <c r="H371" s="58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</row>
    <row r="372" ht="15.75" customHeight="1">
      <c r="G372" s="58"/>
      <c r="H372" s="58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</row>
    <row r="373" ht="15.75" customHeight="1">
      <c r="G373" s="58"/>
      <c r="H373" s="58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</row>
    <row r="374" ht="15.75" customHeight="1">
      <c r="G374" s="58"/>
      <c r="H374" s="58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</row>
    <row r="375" ht="15.75" customHeight="1">
      <c r="G375" s="58"/>
      <c r="H375" s="58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</row>
    <row r="376" ht="15.75" customHeight="1">
      <c r="G376" s="58"/>
      <c r="H376" s="58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</row>
    <row r="377" ht="15.75" customHeight="1">
      <c r="G377" s="58"/>
      <c r="H377" s="58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</row>
    <row r="378" ht="15.75" customHeight="1">
      <c r="G378" s="58"/>
      <c r="H378" s="58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</row>
    <row r="379" ht="15.75" customHeight="1">
      <c r="G379" s="58"/>
      <c r="H379" s="58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</row>
    <row r="380" ht="15.75" customHeight="1">
      <c r="G380" s="58"/>
      <c r="H380" s="58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</row>
    <row r="381" ht="15.75" customHeight="1">
      <c r="G381" s="58"/>
      <c r="H381" s="58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</row>
    <row r="382" ht="15.75" customHeight="1">
      <c r="G382" s="58"/>
      <c r="H382" s="58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</row>
    <row r="383" ht="15.75" customHeight="1">
      <c r="G383" s="58"/>
      <c r="H383" s="58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</row>
    <row r="384" ht="15.75" customHeight="1">
      <c r="G384" s="58"/>
      <c r="H384" s="58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</row>
    <row r="385" ht="15.75" customHeight="1">
      <c r="G385" s="58"/>
      <c r="H385" s="58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</row>
    <row r="386" ht="15.75" customHeight="1">
      <c r="G386" s="58"/>
      <c r="H386" s="58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</row>
    <row r="387" ht="15.75" customHeight="1">
      <c r="G387" s="58"/>
      <c r="H387" s="58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</row>
    <row r="388" ht="15.75" customHeight="1">
      <c r="G388" s="58"/>
      <c r="H388" s="58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</row>
    <row r="389" ht="15.75" customHeight="1">
      <c r="G389" s="58"/>
      <c r="H389" s="58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</row>
    <row r="390" ht="15.75" customHeight="1">
      <c r="G390" s="58"/>
      <c r="H390" s="58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</row>
    <row r="391" ht="15.75" customHeight="1">
      <c r="G391" s="58"/>
      <c r="H391" s="58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</row>
    <row r="392" ht="15.75" customHeight="1">
      <c r="G392" s="58"/>
      <c r="H392" s="58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</row>
    <row r="393" ht="15.75" customHeight="1">
      <c r="G393" s="58"/>
      <c r="H393" s="58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</row>
    <row r="394" ht="15.75" customHeight="1">
      <c r="G394" s="58"/>
      <c r="H394" s="58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</row>
    <row r="395" ht="15.75" customHeight="1">
      <c r="G395" s="58"/>
      <c r="H395" s="58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</row>
    <row r="396" ht="15.75" customHeight="1">
      <c r="G396" s="58"/>
      <c r="H396" s="58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</row>
    <row r="397" ht="15.75" customHeight="1">
      <c r="G397" s="58"/>
      <c r="H397" s="58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</row>
    <row r="398" ht="15.75" customHeight="1">
      <c r="G398" s="58"/>
      <c r="H398" s="58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</row>
    <row r="399" ht="15.75" customHeight="1">
      <c r="G399" s="58"/>
      <c r="H399" s="58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</row>
    <row r="400" ht="15.75" customHeight="1">
      <c r="G400" s="58"/>
      <c r="H400" s="58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</row>
    <row r="401" ht="15.75" customHeight="1">
      <c r="G401" s="58"/>
      <c r="H401" s="58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</row>
    <row r="402" ht="15.75" customHeight="1">
      <c r="G402" s="58"/>
      <c r="H402" s="58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</row>
    <row r="403" ht="15.75" customHeight="1">
      <c r="G403" s="58"/>
      <c r="H403" s="58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</row>
    <row r="404" ht="15.75" customHeight="1">
      <c r="G404" s="58"/>
      <c r="H404" s="58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</row>
    <row r="405" ht="15.75" customHeight="1">
      <c r="G405" s="58"/>
      <c r="H405" s="58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</row>
    <row r="406" ht="15.75" customHeight="1">
      <c r="G406" s="58"/>
      <c r="H406" s="58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</row>
    <row r="407" ht="15.75" customHeight="1">
      <c r="G407" s="58"/>
      <c r="H407" s="58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</row>
    <row r="408" ht="15.75" customHeight="1">
      <c r="G408" s="58"/>
      <c r="H408" s="58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</row>
    <row r="409" ht="15.75" customHeight="1">
      <c r="G409" s="58"/>
      <c r="H409" s="58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</row>
    <row r="410" ht="15.75" customHeight="1">
      <c r="G410" s="58"/>
      <c r="H410" s="58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</row>
    <row r="411" ht="15.75" customHeight="1">
      <c r="G411" s="58"/>
      <c r="H411" s="58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</row>
    <row r="412" ht="15.75" customHeight="1">
      <c r="G412" s="58"/>
      <c r="H412" s="58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</row>
    <row r="413" ht="15.75" customHeight="1">
      <c r="G413" s="58"/>
      <c r="H413" s="58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</row>
    <row r="414" ht="15.75" customHeight="1">
      <c r="G414" s="58"/>
      <c r="H414" s="58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</row>
    <row r="415" ht="15.75" customHeight="1">
      <c r="G415" s="58"/>
      <c r="H415" s="58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</row>
    <row r="416" ht="15.75" customHeight="1">
      <c r="G416" s="58"/>
      <c r="H416" s="58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</row>
    <row r="417" ht="15.75" customHeight="1">
      <c r="G417" s="58"/>
      <c r="H417" s="58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</row>
    <row r="418" ht="15.75" customHeight="1">
      <c r="G418" s="58"/>
      <c r="H418" s="58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</row>
    <row r="419" ht="15.75" customHeight="1">
      <c r="G419" s="58"/>
      <c r="H419" s="58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</row>
    <row r="420" ht="15.75" customHeight="1">
      <c r="G420" s="58"/>
      <c r="H420" s="58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</row>
    <row r="421" ht="15.75" customHeight="1">
      <c r="G421" s="58"/>
      <c r="H421" s="58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</row>
    <row r="422" ht="15.75" customHeight="1">
      <c r="G422" s="58"/>
      <c r="H422" s="58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</row>
    <row r="423" ht="15.75" customHeight="1">
      <c r="G423" s="58"/>
      <c r="H423" s="58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</row>
    <row r="424" ht="15.75" customHeight="1">
      <c r="G424" s="58"/>
      <c r="H424" s="58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</row>
    <row r="425" ht="15.75" customHeight="1">
      <c r="G425" s="58"/>
      <c r="H425" s="58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</row>
    <row r="426" ht="15.75" customHeight="1">
      <c r="G426" s="58"/>
      <c r="H426" s="58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</row>
    <row r="427" ht="15.75" customHeight="1">
      <c r="G427" s="58"/>
      <c r="H427" s="58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</row>
    <row r="428" ht="15.75" customHeight="1">
      <c r="G428" s="58"/>
      <c r="H428" s="58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</row>
    <row r="429" ht="15.75" customHeight="1">
      <c r="G429" s="58"/>
      <c r="H429" s="58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</row>
    <row r="430" ht="15.75" customHeight="1">
      <c r="G430" s="58"/>
      <c r="H430" s="58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</row>
    <row r="431" ht="15.75" customHeight="1">
      <c r="G431" s="58"/>
      <c r="H431" s="58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</row>
    <row r="432" ht="15.75" customHeight="1">
      <c r="G432" s="58"/>
      <c r="H432" s="58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</row>
    <row r="433" ht="15.75" customHeight="1">
      <c r="G433" s="58"/>
      <c r="H433" s="58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</row>
    <row r="434" ht="15.75" customHeight="1">
      <c r="G434" s="58"/>
      <c r="H434" s="58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</row>
    <row r="435" ht="15.75" customHeight="1">
      <c r="G435" s="58"/>
      <c r="H435" s="58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</row>
    <row r="436" ht="15.75" customHeight="1">
      <c r="G436" s="58"/>
      <c r="H436" s="58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</row>
    <row r="437" ht="15.75" customHeight="1">
      <c r="G437" s="58"/>
      <c r="H437" s="58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</row>
    <row r="438" ht="15.75" customHeight="1">
      <c r="G438" s="58"/>
      <c r="H438" s="58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</row>
    <row r="439" ht="15.75" customHeight="1">
      <c r="G439" s="58"/>
      <c r="H439" s="58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</row>
    <row r="440" ht="15.75" customHeight="1">
      <c r="G440" s="58"/>
      <c r="H440" s="58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</row>
    <row r="441" ht="15.75" customHeight="1">
      <c r="G441" s="58"/>
      <c r="H441" s="58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</row>
    <row r="442" ht="15.75" customHeight="1">
      <c r="G442" s="58"/>
      <c r="H442" s="58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</row>
    <row r="443" ht="15.75" customHeight="1">
      <c r="G443" s="58"/>
      <c r="H443" s="58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</row>
    <row r="444" ht="15.75" customHeight="1">
      <c r="G444" s="58"/>
      <c r="H444" s="58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</row>
    <row r="445" ht="15.75" customHeight="1">
      <c r="G445" s="58"/>
      <c r="H445" s="58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</row>
    <row r="446" ht="15.75" customHeight="1">
      <c r="G446" s="58"/>
      <c r="H446" s="58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</row>
    <row r="447" ht="15.75" customHeight="1">
      <c r="G447" s="58"/>
      <c r="H447" s="58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</row>
    <row r="448" ht="15.75" customHeight="1">
      <c r="G448" s="58"/>
      <c r="H448" s="58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</row>
    <row r="449" ht="15.75" customHeight="1">
      <c r="G449" s="58"/>
      <c r="H449" s="58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</row>
    <row r="450" ht="15.75" customHeight="1">
      <c r="G450" s="58"/>
      <c r="H450" s="58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</row>
    <row r="451" ht="15.75" customHeight="1">
      <c r="G451" s="58"/>
      <c r="H451" s="58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</row>
    <row r="452" ht="15.75" customHeight="1">
      <c r="G452" s="58"/>
      <c r="H452" s="58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</row>
    <row r="453" ht="15.75" customHeight="1">
      <c r="G453" s="58"/>
      <c r="H453" s="58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</row>
    <row r="454" ht="15.75" customHeight="1">
      <c r="G454" s="58"/>
      <c r="H454" s="58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</row>
    <row r="455" ht="15.75" customHeight="1">
      <c r="G455" s="58"/>
      <c r="H455" s="58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</row>
    <row r="456" ht="15.75" customHeight="1">
      <c r="G456" s="58"/>
      <c r="H456" s="58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</row>
    <row r="457" ht="15.75" customHeight="1">
      <c r="G457" s="58"/>
      <c r="H457" s="58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</row>
    <row r="458" ht="15.75" customHeight="1">
      <c r="G458" s="58"/>
      <c r="H458" s="58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</row>
    <row r="459" ht="15.75" customHeight="1">
      <c r="G459" s="58"/>
      <c r="H459" s="58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</row>
    <row r="460" ht="15.75" customHeight="1">
      <c r="G460" s="58"/>
      <c r="H460" s="58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</row>
    <row r="461" ht="15.75" customHeight="1">
      <c r="G461" s="58"/>
      <c r="H461" s="58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</row>
    <row r="462" ht="15.75" customHeight="1">
      <c r="G462" s="58"/>
      <c r="H462" s="58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</row>
    <row r="463" ht="15.75" customHeight="1">
      <c r="G463" s="58"/>
      <c r="H463" s="58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</row>
    <row r="464" ht="15.75" customHeight="1">
      <c r="G464" s="58"/>
      <c r="H464" s="58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</row>
    <row r="465" ht="15.75" customHeight="1">
      <c r="G465" s="58"/>
      <c r="H465" s="58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</row>
    <row r="466" ht="15.75" customHeight="1">
      <c r="G466" s="58"/>
      <c r="H466" s="58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</row>
    <row r="467" ht="15.75" customHeight="1">
      <c r="G467" s="58"/>
      <c r="H467" s="58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</row>
    <row r="468" ht="15.75" customHeight="1">
      <c r="G468" s="58"/>
      <c r="H468" s="58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</row>
    <row r="469" ht="15.75" customHeight="1">
      <c r="G469" s="58"/>
      <c r="H469" s="58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</row>
    <row r="470" ht="15.75" customHeight="1">
      <c r="G470" s="58"/>
      <c r="H470" s="58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</row>
    <row r="471" ht="15.75" customHeight="1">
      <c r="G471" s="58"/>
      <c r="H471" s="58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</row>
    <row r="472" ht="15.75" customHeight="1">
      <c r="G472" s="58"/>
      <c r="H472" s="58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</row>
    <row r="473" ht="15.75" customHeight="1">
      <c r="G473" s="58"/>
      <c r="H473" s="58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</row>
    <row r="474" ht="15.75" customHeight="1">
      <c r="G474" s="58"/>
      <c r="H474" s="58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</row>
    <row r="475" ht="15.75" customHeight="1">
      <c r="G475" s="58"/>
      <c r="H475" s="58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</row>
    <row r="476" ht="15.75" customHeight="1">
      <c r="G476" s="58"/>
      <c r="H476" s="58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</row>
    <row r="477" ht="15.75" customHeight="1">
      <c r="G477" s="58"/>
      <c r="H477" s="58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</row>
    <row r="478" ht="15.75" customHeight="1">
      <c r="G478" s="58"/>
      <c r="H478" s="58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</row>
    <row r="479" ht="15.75" customHeight="1">
      <c r="G479" s="58"/>
      <c r="H479" s="58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</row>
    <row r="480" ht="15.75" customHeight="1">
      <c r="G480" s="58"/>
      <c r="H480" s="58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</row>
    <row r="481" ht="15.75" customHeight="1">
      <c r="G481" s="58"/>
      <c r="H481" s="58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</row>
    <row r="482" ht="15.75" customHeight="1">
      <c r="G482" s="58"/>
      <c r="H482" s="58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</row>
    <row r="483" ht="15.75" customHeight="1">
      <c r="G483" s="58"/>
      <c r="H483" s="58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</row>
    <row r="484" ht="15.75" customHeight="1">
      <c r="G484" s="58"/>
      <c r="H484" s="58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</row>
    <row r="485" ht="15.75" customHeight="1">
      <c r="G485" s="58"/>
      <c r="H485" s="58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</row>
    <row r="486" ht="15.75" customHeight="1">
      <c r="G486" s="58"/>
      <c r="H486" s="58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</row>
    <row r="487" ht="15.75" customHeight="1">
      <c r="G487" s="58"/>
      <c r="H487" s="58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</row>
    <row r="488" ht="15.75" customHeight="1">
      <c r="G488" s="58"/>
      <c r="H488" s="58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</row>
    <row r="489" ht="15.75" customHeight="1">
      <c r="G489" s="58"/>
      <c r="H489" s="58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</row>
    <row r="490" ht="15.75" customHeight="1">
      <c r="G490" s="58"/>
      <c r="H490" s="58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</row>
    <row r="491" ht="15.75" customHeight="1">
      <c r="G491" s="58"/>
      <c r="H491" s="58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</row>
    <row r="492" ht="15.75" customHeight="1">
      <c r="G492" s="58"/>
      <c r="H492" s="58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</row>
    <row r="493" ht="15.75" customHeight="1">
      <c r="G493" s="58"/>
      <c r="H493" s="58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</row>
    <row r="494" ht="15.75" customHeight="1">
      <c r="G494" s="58"/>
      <c r="H494" s="58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</row>
    <row r="495" ht="15.75" customHeight="1">
      <c r="G495" s="58"/>
      <c r="H495" s="58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</row>
    <row r="496" ht="15.75" customHeight="1">
      <c r="G496" s="58"/>
      <c r="H496" s="58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</row>
    <row r="497" ht="15.75" customHeight="1">
      <c r="G497" s="58"/>
      <c r="H497" s="58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</row>
    <row r="498" ht="15.75" customHeight="1">
      <c r="G498" s="58"/>
      <c r="H498" s="58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</row>
    <row r="499" ht="15.75" customHeight="1">
      <c r="G499" s="58"/>
      <c r="H499" s="58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</row>
    <row r="500" ht="15.75" customHeight="1">
      <c r="G500" s="58"/>
      <c r="H500" s="58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</row>
    <row r="501" ht="15.75" customHeight="1">
      <c r="G501" s="58"/>
      <c r="H501" s="58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</row>
    <row r="502" ht="15.75" customHeight="1">
      <c r="G502" s="58"/>
      <c r="H502" s="58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</row>
    <row r="503" ht="15.75" customHeight="1">
      <c r="G503" s="58"/>
      <c r="H503" s="58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</row>
    <row r="504" ht="15.75" customHeight="1">
      <c r="G504" s="58"/>
      <c r="H504" s="58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</row>
    <row r="505" ht="15.75" customHeight="1">
      <c r="G505" s="58"/>
      <c r="H505" s="58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</row>
    <row r="506" ht="15.75" customHeight="1">
      <c r="G506" s="58"/>
      <c r="H506" s="58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</row>
    <row r="507" ht="15.75" customHeight="1">
      <c r="G507" s="58"/>
      <c r="H507" s="58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</row>
    <row r="508" ht="15.75" customHeight="1">
      <c r="G508" s="58"/>
      <c r="H508" s="58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</row>
    <row r="509" ht="15.75" customHeight="1">
      <c r="G509" s="58"/>
      <c r="H509" s="58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</row>
    <row r="510" ht="15.75" customHeight="1">
      <c r="G510" s="58"/>
      <c r="H510" s="58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</row>
    <row r="511" ht="15.75" customHeight="1">
      <c r="G511" s="58"/>
      <c r="H511" s="58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</row>
    <row r="512" ht="15.75" customHeight="1">
      <c r="G512" s="58"/>
      <c r="H512" s="58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</row>
    <row r="513" ht="15.75" customHeight="1">
      <c r="G513" s="58"/>
      <c r="H513" s="58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</row>
    <row r="514" ht="15.75" customHeight="1">
      <c r="G514" s="58"/>
      <c r="H514" s="58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</row>
    <row r="515" ht="15.75" customHeight="1">
      <c r="G515" s="58"/>
      <c r="H515" s="58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</row>
    <row r="516" ht="15.75" customHeight="1">
      <c r="G516" s="58"/>
      <c r="H516" s="58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</row>
    <row r="517" ht="15.75" customHeight="1">
      <c r="G517" s="58"/>
      <c r="H517" s="58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</row>
    <row r="518" ht="15.75" customHeight="1">
      <c r="G518" s="58"/>
      <c r="H518" s="58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</row>
    <row r="519" ht="15.75" customHeight="1">
      <c r="G519" s="58"/>
      <c r="H519" s="58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</row>
    <row r="520" ht="15.75" customHeight="1">
      <c r="G520" s="58"/>
      <c r="H520" s="58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</row>
    <row r="521" ht="15.75" customHeight="1">
      <c r="G521" s="58"/>
      <c r="H521" s="58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</row>
    <row r="522" ht="15.75" customHeight="1">
      <c r="G522" s="58"/>
      <c r="H522" s="58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</row>
    <row r="523" ht="15.75" customHeight="1">
      <c r="G523" s="58"/>
      <c r="H523" s="58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</row>
    <row r="524" ht="15.75" customHeight="1">
      <c r="G524" s="58"/>
      <c r="H524" s="58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</row>
    <row r="525" ht="15.75" customHeight="1">
      <c r="G525" s="58"/>
      <c r="H525" s="58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</row>
    <row r="526" ht="15.75" customHeight="1">
      <c r="G526" s="58"/>
      <c r="H526" s="58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</row>
    <row r="527" ht="15.75" customHeight="1">
      <c r="G527" s="58"/>
      <c r="H527" s="58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</row>
    <row r="528" ht="15.75" customHeight="1">
      <c r="G528" s="58"/>
      <c r="H528" s="58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</row>
    <row r="529" ht="15.75" customHeight="1">
      <c r="G529" s="58"/>
      <c r="H529" s="58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</row>
    <row r="530" ht="15.75" customHeight="1">
      <c r="G530" s="58"/>
      <c r="H530" s="58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</row>
    <row r="531" ht="15.75" customHeight="1">
      <c r="G531" s="58"/>
      <c r="H531" s="58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</row>
    <row r="532" ht="15.75" customHeight="1">
      <c r="G532" s="58"/>
      <c r="H532" s="58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</row>
    <row r="533" ht="15.75" customHeight="1">
      <c r="G533" s="58"/>
      <c r="H533" s="58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</row>
    <row r="534" ht="15.75" customHeight="1">
      <c r="G534" s="58"/>
      <c r="H534" s="58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</row>
    <row r="535" ht="15.75" customHeight="1">
      <c r="G535" s="58"/>
      <c r="H535" s="58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</row>
    <row r="536" ht="15.75" customHeight="1">
      <c r="G536" s="58"/>
      <c r="H536" s="58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</row>
    <row r="537" ht="15.75" customHeight="1">
      <c r="G537" s="58"/>
      <c r="H537" s="58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</row>
    <row r="538" ht="15.75" customHeight="1">
      <c r="G538" s="58"/>
      <c r="H538" s="58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</row>
    <row r="539" ht="15.75" customHeight="1">
      <c r="G539" s="58"/>
      <c r="H539" s="58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</row>
    <row r="540" ht="15.75" customHeight="1">
      <c r="G540" s="58"/>
      <c r="H540" s="58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</row>
    <row r="541" ht="15.75" customHeight="1">
      <c r="G541" s="58"/>
      <c r="H541" s="58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</row>
    <row r="542" ht="15.75" customHeight="1">
      <c r="G542" s="58"/>
      <c r="H542" s="58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</row>
    <row r="543" ht="15.75" customHeight="1">
      <c r="G543" s="58"/>
      <c r="H543" s="58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</row>
    <row r="544" ht="15.75" customHeight="1">
      <c r="G544" s="58"/>
      <c r="H544" s="58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</row>
    <row r="545" ht="15.75" customHeight="1">
      <c r="G545" s="58"/>
      <c r="H545" s="58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</row>
    <row r="546" ht="15.75" customHeight="1">
      <c r="G546" s="58"/>
      <c r="H546" s="58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</row>
    <row r="547" ht="15.75" customHeight="1">
      <c r="G547" s="58"/>
      <c r="H547" s="58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</row>
    <row r="548" ht="15.75" customHeight="1">
      <c r="G548" s="58"/>
      <c r="H548" s="58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</row>
    <row r="549" ht="15.75" customHeight="1">
      <c r="G549" s="58"/>
      <c r="H549" s="58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</row>
    <row r="550" ht="15.75" customHeight="1">
      <c r="G550" s="58"/>
      <c r="H550" s="58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</row>
    <row r="551" ht="15.75" customHeight="1">
      <c r="G551" s="58"/>
      <c r="H551" s="58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</row>
    <row r="552" ht="15.75" customHeight="1">
      <c r="G552" s="58"/>
      <c r="H552" s="58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</row>
    <row r="553" ht="15.75" customHeight="1">
      <c r="G553" s="58"/>
      <c r="H553" s="58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</row>
    <row r="554" ht="15.75" customHeight="1">
      <c r="G554" s="58"/>
      <c r="H554" s="58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</row>
    <row r="555" ht="15.75" customHeight="1">
      <c r="G555" s="58"/>
      <c r="H555" s="58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</row>
    <row r="556" ht="15.75" customHeight="1">
      <c r="G556" s="58"/>
      <c r="H556" s="58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</row>
    <row r="557" ht="15.75" customHeight="1">
      <c r="G557" s="58"/>
      <c r="H557" s="58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</row>
    <row r="558" ht="15.75" customHeight="1">
      <c r="G558" s="58"/>
      <c r="H558" s="58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</row>
    <row r="559" ht="15.75" customHeight="1">
      <c r="G559" s="58"/>
      <c r="H559" s="58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</row>
    <row r="560" ht="15.75" customHeight="1">
      <c r="G560" s="58"/>
      <c r="H560" s="58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</row>
    <row r="561" ht="15.75" customHeight="1">
      <c r="G561" s="58"/>
      <c r="H561" s="58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</row>
    <row r="562" ht="15.75" customHeight="1">
      <c r="G562" s="58"/>
      <c r="H562" s="58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</row>
    <row r="563" ht="15.75" customHeight="1">
      <c r="G563" s="58"/>
      <c r="H563" s="58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</row>
    <row r="564" ht="15.75" customHeight="1">
      <c r="G564" s="58"/>
      <c r="H564" s="58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</row>
    <row r="565" ht="15.75" customHeight="1">
      <c r="G565" s="58"/>
      <c r="H565" s="58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</row>
    <row r="566" ht="15.75" customHeight="1">
      <c r="G566" s="58"/>
      <c r="H566" s="58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</row>
    <row r="567" ht="15.75" customHeight="1">
      <c r="G567" s="58"/>
      <c r="H567" s="58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</row>
    <row r="568" ht="15.75" customHeight="1">
      <c r="G568" s="58"/>
      <c r="H568" s="58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</row>
    <row r="569" ht="15.75" customHeight="1">
      <c r="G569" s="58"/>
      <c r="H569" s="58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</row>
    <row r="570" ht="15.75" customHeight="1">
      <c r="G570" s="58"/>
      <c r="H570" s="58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</row>
    <row r="571" ht="15.75" customHeight="1">
      <c r="G571" s="58"/>
      <c r="H571" s="58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</row>
    <row r="572" ht="15.75" customHeight="1">
      <c r="G572" s="58"/>
      <c r="H572" s="58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</row>
    <row r="573" ht="15.75" customHeight="1">
      <c r="G573" s="58"/>
      <c r="H573" s="58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</row>
    <row r="574" ht="15.75" customHeight="1">
      <c r="G574" s="58"/>
      <c r="H574" s="58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</row>
    <row r="575" ht="15.75" customHeight="1">
      <c r="G575" s="58"/>
      <c r="H575" s="58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</row>
    <row r="576" ht="15.75" customHeight="1">
      <c r="G576" s="58"/>
      <c r="H576" s="58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</row>
    <row r="577" ht="15.75" customHeight="1">
      <c r="G577" s="58"/>
      <c r="H577" s="58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</row>
    <row r="578" ht="15.75" customHeight="1">
      <c r="G578" s="58"/>
      <c r="H578" s="58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</row>
    <row r="579" ht="15.75" customHeight="1">
      <c r="G579" s="58"/>
      <c r="H579" s="58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</row>
    <row r="580" ht="15.75" customHeight="1">
      <c r="G580" s="58"/>
      <c r="H580" s="58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</row>
    <row r="581" ht="15.75" customHeight="1">
      <c r="G581" s="58"/>
      <c r="H581" s="58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</row>
    <row r="582" ht="15.75" customHeight="1">
      <c r="G582" s="58"/>
      <c r="H582" s="58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</row>
    <row r="583" ht="15.75" customHeight="1">
      <c r="G583" s="58"/>
      <c r="H583" s="58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</row>
    <row r="584" ht="15.75" customHeight="1">
      <c r="G584" s="58"/>
      <c r="H584" s="58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</row>
    <row r="585" ht="15.75" customHeight="1">
      <c r="G585" s="58"/>
      <c r="H585" s="58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</row>
    <row r="586" ht="15.75" customHeight="1">
      <c r="G586" s="58"/>
      <c r="H586" s="58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</row>
    <row r="587" ht="15.75" customHeight="1">
      <c r="G587" s="58"/>
      <c r="H587" s="58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</row>
    <row r="588" ht="15.75" customHeight="1">
      <c r="G588" s="58"/>
      <c r="H588" s="58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</row>
    <row r="589" ht="15.75" customHeight="1">
      <c r="G589" s="58"/>
      <c r="H589" s="58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</row>
    <row r="590" ht="15.75" customHeight="1">
      <c r="G590" s="58"/>
      <c r="H590" s="58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</row>
    <row r="591" ht="15.75" customHeight="1">
      <c r="G591" s="58"/>
      <c r="H591" s="58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</row>
    <row r="592" ht="15.75" customHeight="1">
      <c r="G592" s="58"/>
      <c r="H592" s="58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</row>
    <row r="593" ht="15.75" customHeight="1">
      <c r="G593" s="58"/>
      <c r="H593" s="58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</row>
    <row r="594" ht="15.75" customHeight="1">
      <c r="G594" s="58"/>
      <c r="H594" s="58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</row>
    <row r="595" ht="15.75" customHeight="1">
      <c r="G595" s="58"/>
      <c r="H595" s="58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</row>
    <row r="596" ht="15.75" customHeight="1">
      <c r="G596" s="58"/>
      <c r="H596" s="58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</row>
    <row r="597" ht="15.75" customHeight="1">
      <c r="G597" s="58"/>
      <c r="H597" s="58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</row>
    <row r="598" ht="15.75" customHeight="1">
      <c r="G598" s="58"/>
      <c r="H598" s="58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</row>
    <row r="599" ht="15.75" customHeight="1">
      <c r="G599" s="58"/>
      <c r="H599" s="58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</row>
    <row r="600" ht="15.75" customHeight="1">
      <c r="G600" s="58"/>
      <c r="H600" s="58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</row>
    <row r="601" ht="15.75" customHeight="1">
      <c r="G601" s="58"/>
      <c r="H601" s="58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</row>
    <row r="602" ht="15.75" customHeight="1">
      <c r="G602" s="58"/>
      <c r="H602" s="58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</row>
    <row r="603" ht="15.75" customHeight="1">
      <c r="G603" s="58"/>
      <c r="H603" s="58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</row>
    <row r="604" ht="15.75" customHeight="1">
      <c r="G604" s="58"/>
      <c r="H604" s="58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</row>
    <row r="605" ht="15.75" customHeight="1">
      <c r="G605" s="58"/>
      <c r="H605" s="58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</row>
    <row r="606" ht="15.75" customHeight="1">
      <c r="G606" s="58"/>
      <c r="H606" s="58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</row>
    <row r="607" ht="15.75" customHeight="1">
      <c r="G607" s="58"/>
      <c r="H607" s="58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</row>
    <row r="608" ht="15.75" customHeight="1">
      <c r="G608" s="58"/>
      <c r="H608" s="58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</row>
    <row r="609" ht="15.75" customHeight="1">
      <c r="G609" s="58"/>
      <c r="H609" s="58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</row>
    <row r="610" ht="15.75" customHeight="1">
      <c r="G610" s="58"/>
      <c r="H610" s="58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</row>
    <row r="611" ht="15.75" customHeight="1">
      <c r="G611" s="58"/>
      <c r="H611" s="58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</row>
    <row r="612" ht="15.75" customHeight="1">
      <c r="G612" s="58"/>
      <c r="H612" s="58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</row>
    <row r="613" ht="15.75" customHeight="1">
      <c r="G613" s="58"/>
      <c r="H613" s="58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</row>
    <row r="614" ht="15.75" customHeight="1">
      <c r="G614" s="58"/>
      <c r="H614" s="58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</row>
    <row r="615" ht="15.75" customHeight="1">
      <c r="G615" s="58"/>
      <c r="H615" s="58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</row>
    <row r="616" ht="15.75" customHeight="1">
      <c r="G616" s="58"/>
      <c r="H616" s="58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</row>
    <row r="617" ht="15.75" customHeight="1">
      <c r="G617" s="58"/>
      <c r="H617" s="58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</row>
    <row r="618" ht="15.75" customHeight="1">
      <c r="G618" s="58"/>
      <c r="H618" s="58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</row>
    <row r="619" ht="15.75" customHeight="1">
      <c r="G619" s="58"/>
      <c r="H619" s="58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</row>
    <row r="620" ht="15.75" customHeight="1">
      <c r="G620" s="58"/>
      <c r="H620" s="58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</row>
    <row r="621" ht="15.75" customHeight="1">
      <c r="G621" s="58"/>
      <c r="H621" s="58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</row>
    <row r="622" ht="15.75" customHeight="1">
      <c r="G622" s="58"/>
      <c r="H622" s="58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</row>
    <row r="623" ht="15.75" customHeight="1">
      <c r="G623" s="58"/>
      <c r="H623" s="58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</row>
    <row r="624" ht="15.75" customHeight="1">
      <c r="G624" s="58"/>
      <c r="H624" s="58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</row>
    <row r="625" ht="15.75" customHeight="1">
      <c r="G625" s="58"/>
      <c r="H625" s="58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</row>
    <row r="626" ht="15.75" customHeight="1">
      <c r="G626" s="58"/>
      <c r="H626" s="58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</row>
    <row r="627" ht="15.75" customHeight="1">
      <c r="G627" s="58"/>
      <c r="H627" s="58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</row>
    <row r="628" ht="15.75" customHeight="1">
      <c r="G628" s="58"/>
      <c r="H628" s="58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</row>
    <row r="629" ht="15.75" customHeight="1">
      <c r="G629" s="58"/>
      <c r="H629" s="58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</row>
    <row r="630" ht="15.75" customHeight="1">
      <c r="G630" s="58"/>
      <c r="H630" s="58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</row>
    <row r="631" ht="15.75" customHeight="1">
      <c r="G631" s="58"/>
      <c r="H631" s="58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</row>
    <row r="632" ht="15.75" customHeight="1">
      <c r="G632" s="58"/>
      <c r="H632" s="58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</row>
    <row r="633" ht="15.75" customHeight="1">
      <c r="G633" s="58"/>
      <c r="H633" s="58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</row>
    <row r="634" ht="15.75" customHeight="1">
      <c r="G634" s="58"/>
      <c r="H634" s="58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</row>
    <row r="635" ht="15.75" customHeight="1">
      <c r="G635" s="58"/>
      <c r="H635" s="58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</row>
    <row r="636" ht="15.75" customHeight="1">
      <c r="G636" s="58"/>
      <c r="H636" s="58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</row>
    <row r="637" ht="15.75" customHeight="1">
      <c r="G637" s="58"/>
      <c r="H637" s="58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</row>
    <row r="638" ht="15.75" customHeight="1">
      <c r="G638" s="58"/>
      <c r="H638" s="58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</row>
    <row r="639" ht="15.75" customHeight="1">
      <c r="G639" s="58"/>
      <c r="H639" s="58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</row>
    <row r="640" ht="15.75" customHeight="1">
      <c r="G640" s="58"/>
      <c r="H640" s="58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</row>
    <row r="641" ht="15.75" customHeight="1">
      <c r="G641" s="58"/>
      <c r="H641" s="58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</row>
    <row r="642" ht="15.75" customHeight="1">
      <c r="G642" s="58"/>
      <c r="H642" s="58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</row>
    <row r="643" ht="15.75" customHeight="1">
      <c r="G643" s="58"/>
      <c r="H643" s="58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</row>
    <row r="644" ht="15.75" customHeight="1">
      <c r="G644" s="58"/>
      <c r="H644" s="58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</row>
    <row r="645" ht="15.75" customHeight="1">
      <c r="G645" s="58"/>
      <c r="H645" s="58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</row>
    <row r="646" ht="15.75" customHeight="1">
      <c r="G646" s="58"/>
      <c r="H646" s="58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</row>
    <row r="647" ht="15.75" customHeight="1">
      <c r="G647" s="58"/>
      <c r="H647" s="58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</row>
    <row r="648" ht="15.75" customHeight="1">
      <c r="G648" s="58"/>
      <c r="H648" s="58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</row>
    <row r="649" ht="15.75" customHeight="1">
      <c r="G649" s="58"/>
      <c r="H649" s="58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</row>
    <row r="650" ht="15.75" customHeight="1">
      <c r="G650" s="58"/>
      <c r="H650" s="58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</row>
    <row r="651" ht="15.75" customHeight="1">
      <c r="G651" s="58"/>
      <c r="H651" s="58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</row>
    <row r="652" ht="15.75" customHeight="1">
      <c r="G652" s="58"/>
      <c r="H652" s="58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</row>
    <row r="653" ht="15.75" customHeight="1">
      <c r="G653" s="58"/>
      <c r="H653" s="58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</row>
    <row r="654" ht="15.75" customHeight="1">
      <c r="G654" s="58"/>
      <c r="H654" s="58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</row>
    <row r="655" ht="15.75" customHeight="1">
      <c r="G655" s="58"/>
      <c r="H655" s="58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</row>
    <row r="656" ht="15.75" customHeight="1">
      <c r="G656" s="58"/>
      <c r="H656" s="58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</row>
    <row r="657" ht="15.75" customHeight="1">
      <c r="G657" s="58"/>
      <c r="H657" s="58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</row>
    <row r="658" ht="15.75" customHeight="1">
      <c r="G658" s="58"/>
      <c r="H658" s="58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</row>
    <row r="659" ht="15.75" customHeight="1">
      <c r="G659" s="58"/>
      <c r="H659" s="58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</row>
    <row r="660" ht="15.75" customHeight="1">
      <c r="G660" s="58"/>
      <c r="H660" s="58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</row>
    <row r="661" ht="15.75" customHeight="1">
      <c r="G661" s="58"/>
      <c r="H661" s="58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</row>
    <row r="662" ht="15.75" customHeight="1">
      <c r="G662" s="58"/>
      <c r="H662" s="58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</row>
    <row r="663" ht="15.75" customHeight="1">
      <c r="G663" s="58"/>
      <c r="H663" s="58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</row>
    <row r="664" ht="15.75" customHeight="1">
      <c r="G664" s="58"/>
      <c r="H664" s="58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</row>
    <row r="665" ht="15.75" customHeight="1">
      <c r="G665" s="58"/>
      <c r="H665" s="58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</row>
    <row r="666" ht="15.75" customHeight="1">
      <c r="G666" s="58"/>
      <c r="H666" s="58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</row>
    <row r="667" ht="15.75" customHeight="1">
      <c r="G667" s="58"/>
      <c r="H667" s="58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</row>
    <row r="668" ht="15.75" customHeight="1">
      <c r="G668" s="58"/>
      <c r="H668" s="58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</row>
    <row r="669" ht="15.75" customHeight="1">
      <c r="G669" s="58"/>
      <c r="H669" s="58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</row>
    <row r="670" ht="15.75" customHeight="1">
      <c r="G670" s="58"/>
      <c r="H670" s="58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</row>
    <row r="671" ht="15.75" customHeight="1">
      <c r="G671" s="58"/>
      <c r="H671" s="58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</row>
    <row r="672" ht="15.75" customHeight="1">
      <c r="G672" s="58"/>
      <c r="H672" s="58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</row>
    <row r="673" ht="15.75" customHeight="1">
      <c r="G673" s="58"/>
      <c r="H673" s="58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</row>
    <row r="674" ht="15.75" customHeight="1">
      <c r="G674" s="58"/>
      <c r="H674" s="58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</row>
    <row r="675" ht="15.75" customHeight="1">
      <c r="G675" s="58"/>
      <c r="H675" s="58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</row>
    <row r="676" ht="15.75" customHeight="1">
      <c r="G676" s="58"/>
      <c r="H676" s="58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</row>
    <row r="677" ht="15.75" customHeight="1">
      <c r="G677" s="58"/>
      <c r="H677" s="58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</row>
    <row r="678" ht="15.75" customHeight="1">
      <c r="G678" s="58"/>
      <c r="H678" s="58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</row>
    <row r="679" ht="15.75" customHeight="1">
      <c r="G679" s="58"/>
      <c r="H679" s="58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</row>
    <row r="680" ht="15.75" customHeight="1">
      <c r="G680" s="58"/>
      <c r="H680" s="58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</row>
    <row r="681" ht="15.75" customHeight="1">
      <c r="G681" s="58"/>
      <c r="H681" s="58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</row>
    <row r="682" ht="15.75" customHeight="1">
      <c r="G682" s="58"/>
      <c r="H682" s="58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</row>
    <row r="683" ht="15.75" customHeight="1">
      <c r="G683" s="58"/>
      <c r="H683" s="58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</row>
    <row r="684" ht="15.75" customHeight="1">
      <c r="G684" s="58"/>
      <c r="H684" s="58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</row>
    <row r="685" ht="15.75" customHeight="1">
      <c r="G685" s="58"/>
      <c r="H685" s="58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</row>
    <row r="686" ht="15.75" customHeight="1">
      <c r="G686" s="58"/>
      <c r="H686" s="58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</row>
    <row r="687" ht="15.75" customHeight="1">
      <c r="G687" s="58"/>
      <c r="H687" s="58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</row>
    <row r="688" ht="15.75" customHeight="1">
      <c r="G688" s="58"/>
      <c r="H688" s="58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</row>
    <row r="689" ht="15.75" customHeight="1">
      <c r="G689" s="58"/>
      <c r="H689" s="58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</row>
    <row r="690" ht="15.75" customHeight="1">
      <c r="G690" s="58"/>
      <c r="H690" s="58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</row>
    <row r="691" ht="15.75" customHeight="1">
      <c r="G691" s="58"/>
      <c r="H691" s="58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</row>
    <row r="692" ht="15.75" customHeight="1">
      <c r="G692" s="58"/>
      <c r="H692" s="58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</row>
    <row r="693" ht="15.75" customHeight="1">
      <c r="G693" s="58"/>
      <c r="H693" s="58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</row>
    <row r="694" ht="15.75" customHeight="1">
      <c r="G694" s="58"/>
      <c r="H694" s="58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</row>
    <row r="695" ht="15.75" customHeight="1">
      <c r="G695" s="58"/>
      <c r="H695" s="58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</row>
    <row r="696" ht="15.75" customHeight="1">
      <c r="G696" s="58"/>
      <c r="H696" s="58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</row>
    <row r="697" ht="15.75" customHeight="1">
      <c r="G697" s="58"/>
      <c r="H697" s="58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</row>
    <row r="698" ht="15.75" customHeight="1">
      <c r="G698" s="58"/>
      <c r="H698" s="58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</row>
    <row r="699" ht="15.75" customHeight="1">
      <c r="G699" s="58"/>
      <c r="H699" s="58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</row>
    <row r="700" ht="15.75" customHeight="1">
      <c r="G700" s="58"/>
      <c r="H700" s="58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</row>
    <row r="701" ht="15.75" customHeight="1">
      <c r="G701" s="58"/>
      <c r="H701" s="58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</row>
    <row r="702" ht="15.75" customHeight="1">
      <c r="G702" s="58"/>
      <c r="H702" s="58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</row>
    <row r="703" ht="15.75" customHeight="1">
      <c r="G703" s="58"/>
      <c r="H703" s="58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</row>
    <row r="704" ht="15.75" customHeight="1">
      <c r="G704" s="58"/>
      <c r="H704" s="58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</row>
    <row r="705" ht="15.75" customHeight="1">
      <c r="G705" s="58"/>
      <c r="H705" s="58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</row>
    <row r="706" ht="15.75" customHeight="1">
      <c r="G706" s="58"/>
      <c r="H706" s="58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</row>
    <row r="707" ht="15.75" customHeight="1">
      <c r="G707" s="58"/>
      <c r="H707" s="58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</row>
    <row r="708" ht="15.75" customHeight="1">
      <c r="G708" s="58"/>
      <c r="H708" s="58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</row>
    <row r="709" ht="15.75" customHeight="1">
      <c r="G709" s="58"/>
      <c r="H709" s="58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</row>
    <row r="710" ht="15.75" customHeight="1">
      <c r="G710" s="58"/>
      <c r="H710" s="58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</row>
    <row r="711" ht="15.75" customHeight="1">
      <c r="G711" s="58"/>
      <c r="H711" s="58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</row>
    <row r="712" ht="15.75" customHeight="1">
      <c r="G712" s="58"/>
      <c r="H712" s="58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</row>
    <row r="713" ht="15.75" customHeight="1">
      <c r="G713" s="58"/>
      <c r="H713" s="58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</row>
    <row r="714" ht="15.75" customHeight="1">
      <c r="G714" s="58"/>
      <c r="H714" s="58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</row>
    <row r="715" ht="15.75" customHeight="1">
      <c r="G715" s="58"/>
      <c r="H715" s="58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</row>
    <row r="716" ht="15.75" customHeight="1">
      <c r="G716" s="58"/>
      <c r="H716" s="58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</row>
    <row r="717" ht="15.75" customHeight="1">
      <c r="G717" s="58"/>
      <c r="H717" s="58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</row>
    <row r="718" ht="15.75" customHeight="1">
      <c r="G718" s="58"/>
      <c r="H718" s="58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</row>
    <row r="719" ht="15.75" customHeight="1">
      <c r="G719" s="58"/>
      <c r="H719" s="58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</row>
    <row r="720" ht="15.75" customHeight="1">
      <c r="G720" s="58"/>
      <c r="H720" s="58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</row>
    <row r="721" ht="15.75" customHeight="1">
      <c r="G721" s="58"/>
      <c r="H721" s="58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</row>
    <row r="722" ht="15.75" customHeight="1">
      <c r="G722" s="58"/>
      <c r="H722" s="58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</row>
    <row r="723" ht="15.75" customHeight="1">
      <c r="G723" s="58"/>
      <c r="H723" s="58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</row>
    <row r="724" ht="15.75" customHeight="1">
      <c r="G724" s="58"/>
      <c r="H724" s="58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</row>
    <row r="725" ht="15.75" customHeight="1">
      <c r="G725" s="58"/>
      <c r="H725" s="58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</row>
    <row r="726" ht="15.75" customHeight="1">
      <c r="G726" s="58"/>
      <c r="H726" s="58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</row>
    <row r="727" ht="15.75" customHeight="1">
      <c r="G727" s="58"/>
      <c r="H727" s="58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</row>
    <row r="728" ht="15.75" customHeight="1">
      <c r="G728" s="58"/>
      <c r="H728" s="58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</row>
    <row r="729" ht="15.75" customHeight="1">
      <c r="G729" s="58"/>
      <c r="H729" s="58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</row>
    <row r="730" ht="15.75" customHeight="1">
      <c r="G730" s="58"/>
      <c r="H730" s="58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</row>
    <row r="731" ht="15.75" customHeight="1">
      <c r="G731" s="58"/>
      <c r="H731" s="58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</row>
    <row r="732" ht="15.75" customHeight="1">
      <c r="G732" s="58"/>
      <c r="H732" s="58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</row>
    <row r="733" ht="15.75" customHeight="1">
      <c r="G733" s="58"/>
      <c r="H733" s="58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</row>
    <row r="734" ht="15.75" customHeight="1">
      <c r="G734" s="58"/>
      <c r="H734" s="58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</row>
    <row r="735" ht="15.75" customHeight="1">
      <c r="G735" s="58"/>
      <c r="H735" s="58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</row>
    <row r="736" ht="15.75" customHeight="1">
      <c r="G736" s="58"/>
      <c r="H736" s="58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</row>
    <row r="737" ht="15.75" customHeight="1">
      <c r="G737" s="58"/>
      <c r="H737" s="58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</row>
    <row r="738" ht="15.75" customHeight="1">
      <c r="G738" s="58"/>
      <c r="H738" s="58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</row>
    <row r="739" ht="15.75" customHeight="1">
      <c r="G739" s="58"/>
      <c r="H739" s="58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</row>
    <row r="740" ht="15.75" customHeight="1">
      <c r="G740" s="58"/>
      <c r="H740" s="58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</row>
    <row r="741" ht="15.75" customHeight="1">
      <c r="G741" s="58"/>
      <c r="H741" s="58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</row>
    <row r="742" ht="15.75" customHeight="1">
      <c r="G742" s="58"/>
      <c r="H742" s="58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</row>
    <row r="743" ht="15.75" customHeight="1">
      <c r="G743" s="58"/>
      <c r="H743" s="58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</row>
    <row r="744" ht="15.75" customHeight="1">
      <c r="G744" s="58"/>
      <c r="H744" s="58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</row>
    <row r="745" ht="15.75" customHeight="1">
      <c r="G745" s="58"/>
      <c r="H745" s="58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</row>
    <row r="746" ht="15.75" customHeight="1">
      <c r="G746" s="58"/>
      <c r="H746" s="58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</row>
    <row r="747" ht="15.75" customHeight="1">
      <c r="G747" s="58"/>
      <c r="H747" s="58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</row>
    <row r="748" ht="15.75" customHeight="1">
      <c r="G748" s="58"/>
      <c r="H748" s="58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</row>
    <row r="749" ht="15.75" customHeight="1">
      <c r="G749" s="58"/>
      <c r="H749" s="58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</row>
    <row r="750" ht="15.75" customHeight="1">
      <c r="G750" s="58"/>
      <c r="H750" s="58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</row>
    <row r="751" ht="15.75" customHeight="1">
      <c r="G751" s="58"/>
      <c r="H751" s="58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</row>
    <row r="752" ht="15.75" customHeight="1">
      <c r="G752" s="58"/>
      <c r="H752" s="58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</row>
    <row r="753" ht="15.75" customHeight="1">
      <c r="G753" s="58"/>
      <c r="H753" s="58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</row>
    <row r="754" ht="15.75" customHeight="1">
      <c r="G754" s="58"/>
      <c r="H754" s="58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</row>
    <row r="755" ht="15.75" customHeight="1">
      <c r="G755" s="58"/>
      <c r="H755" s="58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</row>
    <row r="756" ht="15.75" customHeight="1">
      <c r="G756" s="58"/>
      <c r="H756" s="58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</row>
    <row r="757" ht="15.75" customHeight="1">
      <c r="G757" s="58"/>
      <c r="H757" s="58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</row>
    <row r="758" ht="15.75" customHeight="1">
      <c r="G758" s="58"/>
      <c r="H758" s="58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</row>
    <row r="759" ht="15.75" customHeight="1">
      <c r="G759" s="58"/>
      <c r="H759" s="58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</row>
    <row r="760" ht="15.75" customHeight="1">
      <c r="G760" s="58"/>
      <c r="H760" s="58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</row>
    <row r="761" ht="15.75" customHeight="1">
      <c r="G761" s="58"/>
      <c r="H761" s="58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</row>
    <row r="762" ht="15.75" customHeight="1">
      <c r="G762" s="58"/>
      <c r="H762" s="58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</row>
    <row r="763" ht="15.75" customHeight="1">
      <c r="G763" s="58"/>
      <c r="H763" s="58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</row>
    <row r="764" ht="15.75" customHeight="1">
      <c r="G764" s="58"/>
      <c r="H764" s="58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</row>
    <row r="765" ht="15.75" customHeight="1">
      <c r="G765" s="58"/>
      <c r="H765" s="58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</row>
    <row r="766" ht="15.75" customHeight="1">
      <c r="G766" s="58"/>
      <c r="H766" s="58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</row>
    <row r="767" ht="15.75" customHeight="1">
      <c r="G767" s="58"/>
      <c r="H767" s="58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</row>
    <row r="768" ht="15.75" customHeight="1">
      <c r="G768" s="58"/>
      <c r="H768" s="58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</row>
    <row r="769" ht="15.75" customHeight="1">
      <c r="G769" s="58"/>
      <c r="H769" s="58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</row>
    <row r="770" ht="15.75" customHeight="1">
      <c r="G770" s="58"/>
      <c r="H770" s="58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</row>
    <row r="771" ht="15.75" customHeight="1">
      <c r="G771" s="58"/>
      <c r="H771" s="58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</row>
    <row r="772" ht="15.75" customHeight="1">
      <c r="G772" s="58"/>
      <c r="H772" s="58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</row>
    <row r="773" ht="15.75" customHeight="1">
      <c r="G773" s="58"/>
      <c r="H773" s="58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</row>
    <row r="774" ht="15.75" customHeight="1">
      <c r="G774" s="58"/>
      <c r="H774" s="58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</row>
    <row r="775" ht="15.75" customHeight="1">
      <c r="G775" s="58"/>
      <c r="H775" s="58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</row>
    <row r="776" ht="15.75" customHeight="1">
      <c r="G776" s="58"/>
      <c r="H776" s="58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</row>
    <row r="777" ht="15.75" customHeight="1">
      <c r="G777" s="58"/>
      <c r="H777" s="58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</row>
    <row r="778" ht="15.75" customHeight="1">
      <c r="G778" s="58"/>
      <c r="H778" s="58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</row>
    <row r="779" ht="15.75" customHeight="1">
      <c r="G779" s="58"/>
      <c r="H779" s="58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</row>
    <row r="780" ht="15.75" customHeight="1">
      <c r="G780" s="58"/>
      <c r="H780" s="58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</row>
    <row r="781" ht="15.75" customHeight="1">
      <c r="G781" s="58"/>
      <c r="H781" s="58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</row>
    <row r="782" ht="15.75" customHeight="1">
      <c r="G782" s="58"/>
      <c r="H782" s="58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</row>
    <row r="783" ht="15.75" customHeight="1">
      <c r="G783" s="58"/>
      <c r="H783" s="58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</row>
    <row r="784" ht="15.75" customHeight="1">
      <c r="G784" s="58"/>
      <c r="H784" s="58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</row>
    <row r="785" ht="15.75" customHeight="1">
      <c r="G785" s="58"/>
      <c r="H785" s="58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</row>
    <row r="786" ht="15.75" customHeight="1">
      <c r="G786" s="58"/>
      <c r="H786" s="58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</row>
    <row r="787" ht="15.75" customHeight="1">
      <c r="G787" s="58"/>
      <c r="H787" s="58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</row>
    <row r="788" ht="15.75" customHeight="1">
      <c r="G788" s="58"/>
      <c r="H788" s="58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</row>
    <row r="789" ht="15.75" customHeight="1">
      <c r="G789" s="58"/>
      <c r="H789" s="58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</row>
    <row r="790" ht="15.75" customHeight="1">
      <c r="G790" s="58"/>
      <c r="H790" s="58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</row>
    <row r="791" ht="15.75" customHeight="1">
      <c r="G791" s="58"/>
      <c r="H791" s="58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</row>
    <row r="792" ht="15.75" customHeight="1">
      <c r="G792" s="58"/>
      <c r="H792" s="58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</row>
    <row r="793" ht="15.75" customHeight="1">
      <c r="G793" s="58"/>
      <c r="H793" s="58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</row>
    <row r="794" ht="15.75" customHeight="1">
      <c r="G794" s="58"/>
      <c r="H794" s="58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</row>
    <row r="795" ht="15.75" customHeight="1">
      <c r="G795" s="58"/>
      <c r="H795" s="58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</row>
    <row r="796" ht="15.75" customHeight="1">
      <c r="G796" s="58"/>
      <c r="H796" s="58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</row>
    <row r="797" ht="15.75" customHeight="1">
      <c r="G797" s="58"/>
      <c r="H797" s="58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</row>
    <row r="798" ht="15.75" customHeight="1">
      <c r="G798" s="58"/>
      <c r="H798" s="58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</row>
    <row r="799" ht="15.75" customHeight="1">
      <c r="G799" s="58"/>
      <c r="H799" s="58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</row>
    <row r="800" ht="15.75" customHeight="1">
      <c r="G800" s="58"/>
      <c r="H800" s="58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</row>
    <row r="801" ht="15.75" customHeight="1">
      <c r="G801" s="58"/>
      <c r="H801" s="58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</row>
    <row r="802" ht="15.75" customHeight="1">
      <c r="G802" s="58"/>
      <c r="H802" s="58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</row>
    <row r="803" ht="15.75" customHeight="1">
      <c r="G803" s="58"/>
      <c r="H803" s="58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</row>
    <row r="804" ht="15.75" customHeight="1">
      <c r="G804" s="58"/>
      <c r="H804" s="58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</row>
    <row r="805" ht="15.75" customHeight="1">
      <c r="G805" s="58"/>
      <c r="H805" s="58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</row>
    <row r="806" ht="15.75" customHeight="1">
      <c r="G806" s="58"/>
      <c r="H806" s="58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</row>
    <row r="807" ht="15.75" customHeight="1">
      <c r="G807" s="58"/>
      <c r="H807" s="58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</row>
    <row r="808" ht="15.75" customHeight="1">
      <c r="G808" s="58"/>
      <c r="H808" s="58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</row>
    <row r="809" ht="15.75" customHeight="1">
      <c r="G809" s="58"/>
      <c r="H809" s="58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</row>
    <row r="810" ht="15.75" customHeight="1">
      <c r="G810" s="58"/>
      <c r="H810" s="58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</row>
    <row r="811" ht="15.75" customHeight="1">
      <c r="G811" s="58"/>
      <c r="H811" s="58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</row>
    <row r="812" ht="15.75" customHeight="1">
      <c r="G812" s="58"/>
      <c r="H812" s="58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</row>
    <row r="813" ht="15.75" customHeight="1">
      <c r="G813" s="58"/>
      <c r="H813" s="58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</row>
    <row r="814" ht="15.75" customHeight="1">
      <c r="G814" s="58"/>
      <c r="H814" s="58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</row>
    <row r="815" ht="15.75" customHeight="1">
      <c r="G815" s="58"/>
      <c r="H815" s="58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</row>
    <row r="816" ht="15.75" customHeight="1">
      <c r="G816" s="58"/>
      <c r="H816" s="58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</row>
    <row r="817" ht="15.75" customHeight="1">
      <c r="G817" s="58"/>
      <c r="H817" s="58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</row>
    <row r="818" ht="15.75" customHeight="1">
      <c r="G818" s="58"/>
      <c r="H818" s="58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</row>
    <row r="819" ht="15.75" customHeight="1">
      <c r="G819" s="58"/>
      <c r="H819" s="58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</row>
    <row r="820" ht="15.75" customHeight="1">
      <c r="G820" s="58"/>
      <c r="H820" s="58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</row>
    <row r="821" ht="15.75" customHeight="1">
      <c r="G821" s="58"/>
      <c r="H821" s="58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</row>
    <row r="822" ht="15.75" customHeight="1">
      <c r="G822" s="58"/>
      <c r="H822" s="58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</row>
    <row r="823" ht="15.75" customHeight="1">
      <c r="G823" s="58"/>
      <c r="H823" s="58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</row>
    <row r="824" ht="15.75" customHeight="1">
      <c r="G824" s="58"/>
      <c r="H824" s="58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</row>
    <row r="825" ht="15.75" customHeight="1">
      <c r="G825" s="58"/>
      <c r="H825" s="58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</row>
    <row r="826" ht="15.75" customHeight="1">
      <c r="G826" s="58"/>
      <c r="H826" s="58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</row>
    <row r="827" ht="15.75" customHeight="1">
      <c r="G827" s="58"/>
      <c r="H827" s="58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</row>
    <row r="828" ht="15.75" customHeight="1">
      <c r="G828" s="58"/>
      <c r="H828" s="58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</row>
    <row r="829" ht="15.75" customHeight="1">
      <c r="G829" s="58"/>
      <c r="H829" s="58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</row>
    <row r="830" ht="15.75" customHeight="1">
      <c r="G830" s="58"/>
      <c r="H830" s="58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</row>
    <row r="831" ht="15.75" customHeight="1">
      <c r="G831" s="58"/>
      <c r="H831" s="58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</row>
    <row r="832" ht="15.75" customHeight="1">
      <c r="G832" s="58"/>
      <c r="H832" s="58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</row>
    <row r="833" ht="15.75" customHeight="1">
      <c r="G833" s="58"/>
      <c r="H833" s="58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</row>
    <row r="834" ht="15.75" customHeight="1">
      <c r="G834" s="58"/>
      <c r="H834" s="58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</row>
    <row r="835" ht="15.75" customHeight="1">
      <c r="G835" s="58"/>
      <c r="H835" s="58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</row>
    <row r="836" ht="15.75" customHeight="1">
      <c r="G836" s="58"/>
      <c r="H836" s="58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</row>
    <row r="837" ht="15.75" customHeight="1">
      <c r="G837" s="58"/>
      <c r="H837" s="58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</row>
    <row r="838" ht="15.75" customHeight="1">
      <c r="G838" s="58"/>
      <c r="H838" s="58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</row>
    <row r="839" ht="15.75" customHeight="1">
      <c r="G839" s="58"/>
      <c r="H839" s="58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</row>
    <row r="840" ht="15.75" customHeight="1">
      <c r="G840" s="58"/>
      <c r="H840" s="58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</row>
    <row r="841" ht="15.75" customHeight="1">
      <c r="G841" s="58"/>
      <c r="H841" s="58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</row>
    <row r="842" ht="15.75" customHeight="1">
      <c r="G842" s="58"/>
      <c r="H842" s="58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</row>
    <row r="843" ht="15.75" customHeight="1">
      <c r="G843" s="58"/>
      <c r="H843" s="58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</row>
    <row r="844" ht="15.75" customHeight="1">
      <c r="G844" s="58"/>
      <c r="H844" s="58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</row>
    <row r="845" ht="15.75" customHeight="1">
      <c r="G845" s="58"/>
      <c r="H845" s="58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</row>
    <row r="846" ht="15.75" customHeight="1">
      <c r="G846" s="58"/>
      <c r="H846" s="58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</row>
    <row r="847" ht="15.75" customHeight="1">
      <c r="G847" s="58"/>
      <c r="H847" s="58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</row>
    <row r="848" ht="15.75" customHeight="1">
      <c r="G848" s="58"/>
      <c r="H848" s="58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</row>
    <row r="849" ht="15.75" customHeight="1">
      <c r="G849" s="58"/>
      <c r="H849" s="58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</row>
    <row r="850" ht="15.75" customHeight="1">
      <c r="G850" s="58"/>
      <c r="H850" s="58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</row>
    <row r="851" ht="15.75" customHeight="1">
      <c r="G851" s="58"/>
      <c r="H851" s="58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</row>
    <row r="852" ht="15.75" customHeight="1">
      <c r="G852" s="58"/>
      <c r="H852" s="58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</row>
    <row r="853" ht="15.75" customHeight="1">
      <c r="G853" s="58"/>
      <c r="H853" s="58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</row>
    <row r="854" ht="15.75" customHeight="1">
      <c r="G854" s="58"/>
      <c r="H854" s="58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</row>
    <row r="855" ht="15.75" customHeight="1">
      <c r="G855" s="58"/>
      <c r="H855" s="58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</row>
    <row r="856" ht="15.75" customHeight="1">
      <c r="G856" s="58"/>
      <c r="H856" s="58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</row>
    <row r="857" ht="15.75" customHeight="1">
      <c r="G857" s="58"/>
      <c r="H857" s="58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</row>
    <row r="858" ht="15.75" customHeight="1">
      <c r="G858" s="58"/>
      <c r="H858" s="58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</row>
    <row r="859" ht="15.75" customHeight="1">
      <c r="G859" s="58"/>
      <c r="H859" s="58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</row>
    <row r="860" ht="15.75" customHeight="1">
      <c r="G860" s="58"/>
      <c r="H860" s="58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</row>
    <row r="861" ht="15.75" customHeight="1">
      <c r="G861" s="58"/>
      <c r="H861" s="58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</row>
    <row r="862" ht="15.75" customHeight="1">
      <c r="G862" s="58"/>
      <c r="H862" s="58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</row>
    <row r="863" ht="15.75" customHeight="1">
      <c r="G863" s="58"/>
      <c r="H863" s="58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</row>
    <row r="864" ht="15.75" customHeight="1">
      <c r="G864" s="58"/>
      <c r="H864" s="58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</row>
    <row r="865" ht="15.75" customHeight="1">
      <c r="G865" s="58"/>
      <c r="H865" s="58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</row>
    <row r="866" ht="15.75" customHeight="1">
      <c r="G866" s="58"/>
      <c r="H866" s="58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</row>
    <row r="867" ht="15.75" customHeight="1">
      <c r="G867" s="58"/>
      <c r="H867" s="58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</row>
    <row r="868" ht="15.75" customHeight="1">
      <c r="G868" s="58"/>
      <c r="H868" s="58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</row>
    <row r="869" ht="15.75" customHeight="1">
      <c r="G869" s="58"/>
      <c r="H869" s="58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</row>
    <row r="870" ht="15.75" customHeight="1">
      <c r="G870" s="58"/>
      <c r="H870" s="58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</row>
    <row r="871" ht="15.75" customHeight="1">
      <c r="G871" s="58"/>
      <c r="H871" s="58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</row>
    <row r="872" ht="15.75" customHeight="1">
      <c r="G872" s="58"/>
      <c r="H872" s="58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</row>
    <row r="873" ht="15.75" customHeight="1">
      <c r="G873" s="58"/>
      <c r="H873" s="58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</row>
    <row r="874" ht="15.75" customHeight="1">
      <c r="G874" s="58"/>
      <c r="H874" s="58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</row>
    <row r="875" ht="15.75" customHeight="1">
      <c r="G875" s="58"/>
      <c r="H875" s="58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</row>
    <row r="876" ht="15.75" customHeight="1">
      <c r="G876" s="58"/>
      <c r="H876" s="58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</row>
    <row r="877" ht="15.75" customHeight="1">
      <c r="G877" s="58"/>
      <c r="H877" s="58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</row>
    <row r="878" ht="15.75" customHeight="1">
      <c r="G878" s="58"/>
      <c r="H878" s="58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</row>
    <row r="879" ht="15.75" customHeight="1">
      <c r="G879" s="58"/>
      <c r="H879" s="58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</row>
    <row r="880" ht="15.75" customHeight="1">
      <c r="G880" s="58"/>
      <c r="H880" s="58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</row>
    <row r="881" ht="15.75" customHeight="1">
      <c r="G881" s="58"/>
      <c r="H881" s="58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</row>
    <row r="882" ht="15.75" customHeight="1">
      <c r="G882" s="58"/>
      <c r="H882" s="58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</row>
    <row r="883" ht="15.75" customHeight="1">
      <c r="G883" s="58"/>
      <c r="H883" s="58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</row>
    <row r="884" ht="15.75" customHeight="1">
      <c r="G884" s="58"/>
      <c r="H884" s="58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</row>
    <row r="885" ht="15.75" customHeight="1">
      <c r="G885" s="58"/>
      <c r="H885" s="58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</row>
    <row r="886" ht="15.75" customHeight="1">
      <c r="G886" s="58"/>
      <c r="H886" s="58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</row>
    <row r="887" ht="15.75" customHeight="1">
      <c r="G887" s="58"/>
      <c r="H887" s="58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</row>
    <row r="888" ht="15.75" customHeight="1">
      <c r="G888" s="58"/>
      <c r="H888" s="58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</row>
    <row r="889" ht="15.75" customHeight="1">
      <c r="G889" s="58"/>
      <c r="H889" s="58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</row>
    <row r="890" ht="15.75" customHeight="1">
      <c r="G890" s="58"/>
      <c r="H890" s="58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</row>
    <row r="891" ht="15.75" customHeight="1">
      <c r="G891" s="58"/>
      <c r="H891" s="58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</row>
    <row r="892" ht="15.75" customHeight="1">
      <c r="G892" s="58"/>
      <c r="H892" s="58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</row>
    <row r="893" ht="15.75" customHeight="1">
      <c r="G893" s="58"/>
      <c r="H893" s="58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</row>
    <row r="894" ht="15.75" customHeight="1">
      <c r="G894" s="58"/>
      <c r="H894" s="58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</row>
    <row r="895" ht="15.75" customHeight="1">
      <c r="G895" s="58"/>
      <c r="H895" s="58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</row>
    <row r="896" ht="15.75" customHeight="1">
      <c r="G896" s="58"/>
      <c r="H896" s="58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</row>
    <row r="897" ht="15.75" customHeight="1">
      <c r="G897" s="58"/>
      <c r="H897" s="58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</row>
    <row r="898" ht="15.75" customHeight="1">
      <c r="G898" s="58"/>
      <c r="H898" s="58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</row>
    <row r="899" ht="15.75" customHeight="1">
      <c r="G899" s="58"/>
      <c r="H899" s="58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</row>
    <row r="900" ht="15.75" customHeight="1">
      <c r="G900" s="58"/>
      <c r="H900" s="58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</row>
    <row r="901" ht="15.75" customHeight="1">
      <c r="G901" s="58"/>
      <c r="H901" s="58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</row>
    <row r="902" ht="15.75" customHeight="1">
      <c r="G902" s="58"/>
      <c r="H902" s="58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</row>
    <row r="903" ht="15.75" customHeight="1">
      <c r="G903" s="58"/>
      <c r="H903" s="58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</row>
    <row r="904" ht="15.75" customHeight="1">
      <c r="G904" s="58"/>
      <c r="H904" s="58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</row>
    <row r="905" ht="15.75" customHeight="1">
      <c r="G905" s="58"/>
      <c r="H905" s="58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</row>
    <row r="906" ht="15.75" customHeight="1">
      <c r="G906" s="58"/>
      <c r="H906" s="58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</row>
    <row r="907" ht="15.75" customHeight="1">
      <c r="G907" s="58"/>
      <c r="H907" s="58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</row>
    <row r="908" ht="15.75" customHeight="1">
      <c r="G908" s="58"/>
      <c r="H908" s="58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</row>
    <row r="909" ht="15.75" customHeight="1">
      <c r="G909" s="58"/>
      <c r="H909" s="58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</row>
    <row r="910" ht="15.75" customHeight="1">
      <c r="G910" s="58"/>
      <c r="H910" s="58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</row>
    <row r="911" ht="15.75" customHeight="1">
      <c r="G911" s="58"/>
      <c r="H911" s="58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</row>
    <row r="912" ht="15.75" customHeight="1">
      <c r="G912" s="58"/>
      <c r="H912" s="58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</row>
    <row r="913" ht="15.75" customHeight="1">
      <c r="G913" s="58"/>
      <c r="H913" s="58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</row>
    <row r="914" ht="15.75" customHeight="1">
      <c r="G914" s="58"/>
      <c r="H914" s="58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</row>
    <row r="915" ht="15.75" customHeight="1">
      <c r="G915" s="58"/>
      <c r="H915" s="58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</row>
    <row r="916" ht="15.75" customHeight="1">
      <c r="G916" s="58"/>
      <c r="H916" s="58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</row>
    <row r="917" ht="15.75" customHeight="1">
      <c r="G917" s="58"/>
      <c r="H917" s="58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</row>
    <row r="918" ht="15.75" customHeight="1">
      <c r="G918" s="58"/>
      <c r="H918" s="58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</row>
    <row r="919" ht="15.75" customHeight="1">
      <c r="G919" s="58"/>
      <c r="H919" s="58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</row>
    <row r="920" ht="15.75" customHeight="1">
      <c r="G920" s="58"/>
      <c r="H920" s="58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</row>
    <row r="921" ht="15.75" customHeight="1">
      <c r="G921" s="58"/>
      <c r="H921" s="58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</row>
    <row r="922" ht="15.75" customHeight="1">
      <c r="G922" s="58"/>
      <c r="H922" s="58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</row>
    <row r="923" ht="15.75" customHeight="1">
      <c r="G923" s="58"/>
      <c r="H923" s="58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</row>
    <row r="924" ht="15.75" customHeight="1">
      <c r="G924" s="58"/>
      <c r="H924" s="58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</row>
    <row r="925" ht="15.75" customHeight="1">
      <c r="G925" s="58"/>
      <c r="H925" s="58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</row>
    <row r="926" ht="15.75" customHeight="1">
      <c r="G926" s="58"/>
      <c r="H926" s="58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</row>
    <row r="927" ht="15.75" customHeight="1">
      <c r="G927" s="58"/>
      <c r="H927" s="58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</row>
    <row r="928" ht="15.75" customHeight="1">
      <c r="G928" s="58"/>
      <c r="H928" s="58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</row>
    <row r="929" ht="15.75" customHeight="1">
      <c r="G929" s="58"/>
      <c r="H929" s="58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</row>
    <row r="930" ht="15.75" customHeight="1">
      <c r="G930" s="58"/>
      <c r="H930" s="58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</row>
    <row r="931" ht="15.75" customHeight="1">
      <c r="G931" s="58"/>
      <c r="H931" s="58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</row>
    <row r="932" ht="15.75" customHeight="1">
      <c r="G932" s="58"/>
      <c r="H932" s="58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</row>
    <row r="933" ht="15.75" customHeight="1">
      <c r="G933" s="58"/>
      <c r="H933" s="58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</row>
    <row r="934" ht="15.75" customHeight="1">
      <c r="G934" s="58"/>
      <c r="H934" s="58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</row>
    <row r="935" ht="15.75" customHeight="1">
      <c r="G935" s="58"/>
      <c r="H935" s="58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</row>
    <row r="936" ht="15.75" customHeight="1">
      <c r="G936" s="58"/>
      <c r="H936" s="58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</row>
    <row r="937" ht="15.75" customHeight="1">
      <c r="G937" s="58"/>
      <c r="H937" s="58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</row>
    <row r="938" ht="15.75" customHeight="1">
      <c r="G938" s="58"/>
      <c r="H938" s="58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</row>
    <row r="939" ht="15.75" customHeight="1">
      <c r="G939" s="58"/>
      <c r="H939" s="58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</row>
    <row r="940" ht="15.75" customHeight="1">
      <c r="G940" s="58"/>
      <c r="H940" s="58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</row>
    <row r="941" ht="15.75" customHeight="1">
      <c r="G941" s="58"/>
      <c r="H941" s="58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</row>
    <row r="942" ht="15.75" customHeight="1">
      <c r="G942" s="58"/>
      <c r="H942" s="58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</row>
    <row r="943" ht="15.75" customHeight="1">
      <c r="G943" s="58"/>
      <c r="H943" s="58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</row>
    <row r="944" ht="15.75" customHeight="1">
      <c r="G944" s="58"/>
      <c r="H944" s="58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</row>
    <row r="945" ht="15.75" customHeight="1">
      <c r="G945" s="58"/>
      <c r="H945" s="58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</row>
    <row r="946" ht="15.75" customHeight="1">
      <c r="G946" s="58"/>
      <c r="H946" s="58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</row>
    <row r="947" ht="15.75" customHeight="1">
      <c r="G947" s="58"/>
      <c r="H947" s="58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</row>
    <row r="948" ht="15.75" customHeight="1">
      <c r="G948" s="58"/>
      <c r="H948" s="58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</row>
    <row r="949" ht="15.75" customHeight="1">
      <c r="G949" s="58"/>
      <c r="H949" s="58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</row>
    <row r="950" ht="15.75" customHeight="1">
      <c r="G950" s="58"/>
      <c r="H950" s="58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</row>
    <row r="951" ht="15.75" customHeight="1">
      <c r="G951" s="58"/>
      <c r="H951" s="58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</row>
    <row r="952" ht="15.75" customHeight="1">
      <c r="G952" s="58"/>
      <c r="H952" s="58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</row>
    <row r="953" ht="15.75" customHeight="1">
      <c r="G953" s="58"/>
      <c r="H953" s="58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</row>
    <row r="954" ht="15.75" customHeight="1">
      <c r="G954" s="58"/>
      <c r="H954" s="58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</row>
    <row r="955" ht="15.75" customHeight="1">
      <c r="G955" s="58"/>
      <c r="H955" s="58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</row>
    <row r="956" ht="15.75" customHeight="1">
      <c r="G956" s="58"/>
      <c r="H956" s="58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</row>
    <row r="957" ht="15.75" customHeight="1">
      <c r="G957" s="58"/>
      <c r="H957" s="58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</row>
    <row r="958" ht="15.75" customHeight="1">
      <c r="G958" s="58"/>
      <c r="H958" s="58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</row>
    <row r="959" ht="15.75" customHeight="1">
      <c r="G959" s="58"/>
      <c r="H959" s="58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</row>
    <row r="960" ht="15.75" customHeight="1">
      <c r="G960" s="58"/>
      <c r="H960" s="58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</row>
    <row r="961" ht="15.75" customHeight="1">
      <c r="G961" s="58"/>
      <c r="H961" s="58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</row>
    <row r="962" ht="15.75" customHeight="1">
      <c r="G962" s="58"/>
      <c r="H962" s="58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</row>
    <row r="963" ht="15.75" customHeight="1">
      <c r="G963" s="58"/>
      <c r="H963" s="58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</row>
    <row r="964" ht="15.75" customHeight="1">
      <c r="G964" s="58"/>
      <c r="H964" s="58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</row>
    <row r="965" ht="15.75" customHeight="1">
      <c r="G965" s="58"/>
      <c r="H965" s="58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</row>
    <row r="966" ht="15.75" customHeight="1">
      <c r="G966" s="58"/>
      <c r="H966" s="58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</row>
    <row r="967" ht="15.75" customHeight="1">
      <c r="G967" s="58"/>
      <c r="H967" s="58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</row>
    <row r="968" ht="15.75" customHeight="1">
      <c r="G968" s="58"/>
      <c r="H968" s="58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</row>
    <row r="969" ht="15.75" customHeight="1">
      <c r="G969" s="58"/>
      <c r="H969" s="58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</row>
    <row r="970" ht="15.75" customHeight="1">
      <c r="G970" s="58"/>
      <c r="H970" s="58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</row>
    <row r="971" ht="15.75" customHeight="1">
      <c r="G971" s="58"/>
      <c r="H971" s="58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</row>
    <row r="972" ht="15.75" customHeight="1">
      <c r="G972" s="58"/>
      <c r="H972" s="58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</row>
    <row r="973" ht="15.75" customHeight="1">
      <c r="G973" s="58"/>
      <c r="H973" s="58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</row>
    <row r="974" ht="15.75" customHeight="1">
      <c r="G974" s="58"/>
      <c r="H974" s="58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</row>
    <row r="975" ht="15.75" customHeight="1">
      <c r="G975" s="58"/>
      <c r="H975" s="58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</row>
    <row r="976" ht="15.75" customHeight="1">
      <c r="G976" s="58"/>
      <c r="H976" s="58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</row>
    <row r="977" ht="15.75" customHeight="1">
      <c r="G977" s="58"/>
      <c r="H977" s="58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</row>
    <row r="978" ht="15.75" customHeight="1">
      <c r="G978" s="58"/>
      <c r="H978" s="58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</row>
    <row r="979" ht="15.75" customHeight="1">
      <c r="G979" s="58"/>
      <c r="H979" s="58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</row>
    <row r="980" ht="15.75" customHeight="1">
      <c r="G980" s="58"/>
      <c r="H980" s="58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</row>
    <row r="981" ht="15.75" customHeight="1">
      <c r="G981" s="58"/>
      <c r="H981" s="58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</row>
    <row r="982" ht="15.75" customHeight="1">
      <c r="G982" s="58"/>
      <c r="H982" s="58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</row>
    <row r="983" ht="15.75" customHeight="1">
      <c r="G983" s="58"/>
      <c r="H983" s="58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</row>
    <row r="984" ht="15.75" customHeight="1">
      <c r="G984" s="58"/>
      <c r="H984" s="58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</row>
    <row r="985" ht="15.75" customHeight="1">
      <c r="G985" s="58"/>
      <c r="H985" s="58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</row>
    <row r="986" ht="15.75" customHeight="1">
      <c r="G986" s="58"/>
      <c r="H986" s="58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</row>
    <row r="987" ht="15.75" customHeight="1">
      <c r="G987" s="58"/>
      <c r="H987" s="58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</row>
    <row r="988" ht="15.75" customHeight="1">
      <c r="G988" s="58"/>
      <c r="H988" s="58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</row>
    <row r="989" ht="15.75" customHeight="1">
      <c r="G989" s="58"/>
      <c r="H989" s="58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</row>
    <row r="990" ht="15.75" customHeight="1">
      <c r="G990" s="58"/>
      <c r="H990" s="58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</row>
    <row r="991" ht="15.75" customHeight="1">
      <c r="G991" s="58"/>
      <c r="H991" s="58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</row>
    <row r="992" ht="15.75" customHeight="1">
      <c r="G992" s="58"/>
      <c r="H992" s="58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</row>
    <row r="993" ht="15.75" customHeight="1">
      <c r="G993" s="58"/>
      <c r="H993" s="58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</row>
    <row r="994" ht="15.75" customHeight="1">
      <c r="G994" s="58"/>
      <c r="H994" s="58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</row>
    <row r="995" ht="15.75" customHeight="1">
      <c r="G995" s="58"/>
      <c r="H995" s="58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</row>
    <row r="996" ht="15.75" customHeight="1">
      <c r="G996" s="58"/>
      <c r="H996" s="58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</row>
    <row r="997" ht="15.75" customHeight="1">
      <c r="G997" s="58"/>
      <c r="H997" s="58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</row>
    <row r="998" ht="15.75" customHeight="1">
      <c r="G998" s="58"/>
      <c r="H998" s="58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</row>
    <row r="999" ht="15.75" customHeight="1">
      <c r="G999" s="58"/>
      <c r="H999" s="58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</row>
    <row r="1000" ht="15.75" customHeight="1">
      <c r="G1000" s="58"/>
      <c r="H1000" s="58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</row>
    <row r="1001" ht="15.75" customHeight="1">
      <c r="G1001" s="58"/>
      <c r="H1001" s="58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</row>
    <row r="1002" ht="15.75" customHeight="1">
      <c r="G1002" s="58"/>
      <c r="H1002" s="58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</row>
    <row r="1003" ht="15.75" customHeight="1">
      <c r="G1003" s="58"/>
      <c r="H1003" s="58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</row>
    <row r="1004" ht="15.75" customHeight="1">
      <c r="G1004" s="58"/>
      <c r="H1004" s="58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</row>
    <row r="1005" ht="15.75" customHeight="1">
      <c r="G1005" s="58"/>
      <c r="H1005" s="58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</row>
    <row r="1006" ht="15.75" customHeight="1">
      <c r="G1006" s="58"/>
      <c r="H1006" s="58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</row>
    <row r="1007" ht="15.75" customHeight="1">
      <c r="G1007" s="58"/>
      <c r="H1007" s="58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</row>
    <row r="1008" ht="15.75" customHeight="1">
      <c r="G1008" s="58"/>
      <c r="H1008" s="58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</row>
    <row r="1009" ht="15.75" customHeight="1">
      <c r="G1009" s="58"/>
      <c r="H1009" s="58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</row>
    <row r="1010" ht="15.75" customHeight="1">
      <c r="G1010" s="58"/>
      <c r="H1010" s="58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</row>
    <row r="1011" ht="15.75" customHeight="1">
      <c r="G1011" s="58"/>
      <c r="H1011" s="58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</row>
    <row r="1012" ht="15.75" customHeight="1">
      <c r="G1012" s="58"/>
      <c r="H1012" s="58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</row>
    <row r="1013" ht="15.75" customHeight="1">
      <c r="G1013" s="58"/>
      <c r="H1013" s="58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</row>
    <row r="1014" ht="15.75" customHeight="1">
      <c r="G1014" s="58"/>
      <c r="H1014" s="58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</row>
    <row r="1015" ht="15.75" customHeight="1">
      <c r="G1015" s="58"/>
      <c r="H1015" s="58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</row>
    <row r="1016" ht="15.75" customHeight="1">
      <c r="G1016" s="58"/>
      <c r="H1016" s="58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</row>
    <row r="1017" ht="15.75" customHeight="1">
      <c r="G1017" s="58"/>
      <c r="H1017" s="58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</row>
    <row r="1018" ht="15.75" customHeight="1">
      <c r="G1018" s="58"/>
      <c r="H1018" s="58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</row>
    <row r="1019" ht="15.75" customHeight="1">
      <c r="G1019" s="58"/>
      <c r="H1019" s="58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</row>
    <row r="1020" ht="15.75" customHeight="1">
      <c r="G1020" s="58"/>
      <c r="H1020" s="58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</row>
    <row r="1021" ht="15.75" customHeight="1">
      <c r="G1021" s="58"/>
      <c r="H1021" s="58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</row>
    <row r="1022" ht="15.75" customHeight="1">
      <c r="G1022" s="58"/>
      <c r="H1022" s="58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</row>
    <row r="1023" ht="15.75" customHeight="1">
      <c r="G1023" s="58"/>
      <c r="H1023" s="58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</row>
    <row r="1024" ht="15.75" customHeight="1">
      <c r="G1024" s="58"/>
      <c r="H1024" s="58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</row>
    <row r="1025" ht="15.75" customHeight="1">
      <c r="G1025" s="58"/>
      <c r="H1025" s="58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</row>
    <row r="1026" ht="15.75" customHeight="1">
      <c r="G1026" s="58"/>
      <c r="H1026" s="58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</row>
    <row r="1027" ht="15.75" customHeight="1">
      <c r="G1027" s="58"/>
      <c r="H1027" s="58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</row>
    <row r="1028" ht="15.75" customHeight="1">
      <c r="G1028" s="58"/>
      <c r="H1028" s="58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</row>
    <row r="1029" ht="15.75" customHeight="1">
      <c r="G1029" s="58"/>
      <c r="H1029" s="58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</row>
    <row r="1030" ht="15.75" customHeight="1">
      <c r="G1030" s="58"/>
      <c r="H1030" s="58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</row>
    <row r="1031" ht="15.75" customHeight="1">
      <c r="G1031" s="58"/>
      <c r="H1031" s="58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</row>
    <row r="1032" ht="15.75" customHeight="1">
      <c r="G1032" s="58"/>
      <c r="H1032" s="58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</row>
    <row r="1033" ht="15.75" customHeight="1">
      <c r="G1033" s="58"/>
      <c r="H1033" s="58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</row>
    <row r="1034" ht="15.75" customHeight="1">
      <c r="G1034" s="58"/>
      <c r="H1034" s="58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</row>
    <row r="1035" ht="15.75" customHeight="1">
      <c r="G1035" s="58"/>
      <c r="H1035" s="58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</row>
    <row r="1036" ht="15.75" customHeight="1">
      <c r="G1036" s="58"/>
      <c r="H1036" s="58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</row>
    <row r="1037" ht="15.75" customHeight="1">
      <c r="G1037" s="58"/>
      <c r="H1037" s="58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</row>
    <row r="1038" ht="15.75" customHeight="1">
      <c r="G1038" s="58"/>
      <c r="H1038" s="58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</row>
    <row r="1039" ht="15.75" customHeight="1">
      <c r="G1039" s="58"/>
      <c r="H1039" s="58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</row>
    <row r="1040" ht="15.75" customHeight="1">
      <c r="G1040" s="58"/>
      <c r="H1040" s="58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</row>
    <row r="1041" ht="15.75" customHeight="1">
      <c r="G1041" s="58"/>
      <c r="H1041" s="58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</row>
    <row r="1042" ht="15.75" customHeight="1">
      <c r="G1042" s="58"/>
      <c r="H1042" s="58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</row>
    <row r="1043" ht="15.75" customHeight="1">
      <c r="G1043" s="58"/>
      <c r="H1043" s="58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</row>
    <row r="1044" ht="15.75" customHeight="1">
      <c r="G1044" s="58"/>
      <c r="H1044" s="58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</row>
    <row r="1045" ht="15.75" customHeight="1">
      <c r="G1045" s="58"/>
      <c r="H1045" s="58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</row>
    <row r="1046" ht="15.75" customHeight="1">
      <c r="G1046" s="58"/>
      <c r="H1046" s="58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</row>
    <row r="1047" ht="15.75" customHeight="1">
      <c r="G1047" s="58"/>
      <c r="H1047" s="58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</row>
    <row r="1048" ht="15.75" customHeight="1">
      <c r="G1048" s="58"/>
      <c r="H1048" s="58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</row>
    <row r="1049" ht="15.75" customHeight="1">
      <c r="G1049" s="58"/>
      <c r="H1049" s="58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</row>
    <row r="1050" ht="15.75" customHeight="1">
      <c r="G1050" s="58"/>
      <c r="H1050" s="58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</row>
    <row r="1051" ht="15.75" customHeight="1">
      <c r="G1051" s="58"/>
      <c r="H1051" s="58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</row>
    <row r="1052" ht="15.75" customHeight="1">
      <c r="G1052" s="58"/>
      <c r="H1052" s="58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</row>
    <row r="1053" ht="15.75" customHeight="1">
      <c r="G1053" s="58"/>
      <c r="H1053" s="58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</row>
    <row r="1054" ht="15.75" customHeight="1">
      <c r="G1054" s="58"/>
      <c r="H1054" s="58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</row>
  </sheetData>
  <mergeCells count="26">
    <mergeCell ref="C23:C27"/>
    <mergeCell ref="C28:C30"/>
    <mergeCell ref="C31:C34"/>
    <mergeCell ref="C35:C38"/>
    <mergeCell ref="C39:C42"/>
    <mergeCell ref="C44:C46"/>
    <mergeCell ref="B2:B10"/>
    <mergeCell ref="C2:C10"/>
    <mergeCell ref="B11:B16"/>
    <mergeCell ref="C11:C13"/>
    <mergeCell ref="C14:C16"/>
    <mergeCell ref="B17:B46"/>
    <mergeCell ref="C17:C22"/>
    <mergeCell ref="B57:B68"/>
    <mergeCell ref="B69:B73"/>
    <mergeCell ref="B74:B85"/>
    <mergeCell ref="C70:C73"/>
    <mergeCell ref="C74:C83"/>
    <mergeCell ref="C84:C85"/>
    <mergeCell ref="B47:B56"/>
    <mergeCell ref="C47:C49"/>
    <mergeCell ref="C50:C52"/>
    <mergeCell ref="C53:C56"/>
    <mergeCell ref="C57:C60"/>
    <mergeCell ref="C61:C63"/>
    <mergeCell ref="C64:C68"/>
  </mergeCells>
  <conditionalFormatting sqref="J1:BJ1">
    <cfRule type="expression" dxfId="0" priority="1">
      <formula>WEEKDAY(J$1,2)=6</formula>
    </cfRule>
  </conditionalFormatting>
  <conditionalFormatting sqref="J1:BJ1">
    <cfRule type="expression" dxfId="0" priority="2">
      <formula>WEEKDAY(J$1,2)=7</formula>
    </cfRule>
  </conditionalFormatting>
  <conditionalFormatting sqref="J2:BJ86">
    <cfRule type="expression" dxfId="1" priority="3">
      <formula>AND($A2="진행중", J$1&gt;= $B2, J$1&lt;= $C2)</formula>
    </cfRule>
  </conditionalFormatting>
  <conditionalFormatting sqref="J2:BJ86">
    <cfRule type="expression" dxfId="2" priority="4">
      <formula>AND($A2="완료", J$1&gt;= $B2, J$1&lt;= $C2)</formula>
    </cfRule>
  </conditionalFormatting>
  <conditionalFormatting sqref="J2:BJ86">
    <cfRule type="colorScale" priority="5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2:F85">
      <formula1>"완료,진행중,진행 예정"</formula1>
    </dataValidation>
    <dataValidation type="list" allowBlank="1" showErrorMessage="1" sqref="E2:E85">
      <formula1>"김원우,김이경,이석원,이준배,최요섭,모두"</formula1>
    </dataValidation>
    <dataValidation type="list" allowBlank="1" showErrorMessage="1" sqref="J92:J93">
      <formula1>"완료,진행중,진행 예정"</formula1>
    </dataValidation>
    <dataValidation type="list" allowBlank="1" showErrorMessage="1" sqref="I2:I81">
      <formula1>"높음,낮음,중간,매우 높음"</formula1>
    </dataValidation>
  </dataValidations>
  <drawing r:id="rId1"/>
</worksheet>
</file>